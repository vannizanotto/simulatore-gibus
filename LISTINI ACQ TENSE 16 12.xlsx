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.brunazzetto\Documents\x codognini\"/>
    </mc:Choice>
  </mc:AlternateContent>
  <xr:revisionPtr revIDLastSave="0" documentId="8_{949180A3-6CF0-40AC-B938-D3D9DC53A0CD}" xr6:coauthVersionLast="47" xr6:coauthVersionMax="47" xr10:uidLastSave="{00000000-0000-0000-0000-000000000000}"/>
  <bookViews>
    <workbookView xWindow="-120" yWindow="-120" windowWidth="29040" windowHeight="15720" tabRatio="867" activeTab="1" xr2:uid="{C4C7B2A6-BA9E-4E03-B61B-012F4D551C45}"/>
  </bookViews>
  <sheets>
    <sheet name="richieste offerte kit+sacc" sheetId="1" r:id="rId1"/>
    <sheet name="Foglio2" sheetId="3" r:id="rId2"/>
    <sheet name="Foglio1" sheetId="2" r:id="rId3"/>
  </sheets>
  <externalReferences>
    <externalReference r:id="rId4"/>
  </externalReferences>
  <definedNames>
    <definedName name="_xlnm._FilterDatabase" localSheetId="1" hidden="1">Foglio2!$A$2:$N$108</definedName>
    <definedName name="_xlnm._FilterDatabase" localSheetId="0" hidden="1">'richieste offerte kit+sacc'!$A$2:$AE$152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3" l="1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48" i="3"/>
  <c r="N47" i="3"/>
  <c r="N46" i="3"/>
  <c r="N45" i="3"/>
  <c r="N44" i="3"/>
  <c r="N43" i="3"/>
  <c r="N42" i="3"/>
  <c r="N41" i="3"/>
  <c r="N40" i="3"/>
  <c r="N39" i="3"/>
  <c r="N38" i="3"/>
  <c r="N37" i="3"/>
  <c r="N10" i="3"/>
  <c r="N14" i="3"/>
  <c r="N7" i="3"/>
  <c r="N6" i="3"/>
  <c r="N3" i="3"/>
  <c r="Q4" i="1"/>
  <c r="R4" i="1"/>
  <c r="S4" i="1" s="1"/>
  <c r="O4" i="1" s="1"/>
  <c r="Q5" i="1"/>
  <c r="R5" i="1"/>
  <c r="S5" i="1" s="1"/>
  <c r="O5" i="1" s="1"/>
  <c r="Q6" i="1"/>
  <c r="R6" i="1"/>
  <c r="S6" i="1" s="1"/>
  <c r="O6" i="1" s="1"/>
  <c r="Q7" i="1"/>
  <c r="R7" i="1"/>
  <c r="S7" i="1" s="1"/>
  <c r="O7" i="1" s="1"/>
  <c r="Q8" i="1"/>
  <c r="R8" i="1"/>
  <c r="S8" i="1" s="1"/>
  <c r="O8" i="1" s="1"/>
  <c r="Q9" i="1"/>
  <c r="R9" i="1"/>
  <c r="S9" i="1" s="1"/>
  <c r="O9" i="1" s="1"/>
  <c r="Q10" i="1"/>
  <c r="R10" i="1"/>
  <c r="S10" i="1" s="1"/>
  <c r="O10" i="1" s="1"/>
  <c r="Q11" i="1"/>
  <c r="R11" i="1"/>
  <c r="S11" i="1" s="1"/>
  <c r="O11" i="1" s="1"/>
  <c r="Q12" i="1"/>
  <c r="R12" i="1"/>
  <c r="S12" i="1" s="1"/>
  <c r="O12" i="1" s="1"/>
  <c r="Q13" i="1"/>
  <c r="R13" i="1"/>
  <c r="S13" i="1" s="1"/>
  <c r="O13" i="1" s="1"/>
  <c r="Q14" i="1"/>
  <c r="R14" i="1"/>
  <c r="S14" i="1" s="1"/>
  <c r="O14" i="1" s="1"/>
  <c r="Q15" i="1"/>
  <c r="R15" i="1"/>
  <c r="S15" i="1" s="1"/>
  <c r="O15" i="1" s="1"/>
  <c r="Q16" i="1"/>
  <c r="R16" i="1"/>
  <c r="S16" i="1" s="1"/>
  <c r="O16" i="1" s="1"/>
  <c r="Q17" i="1"/>
  <c r="R17" i="1"/>
  <c r="S17" i="1" s="1"/>
  <c r="O17" i="1" s="1"/>
  <c r="Q18" i="1"/>
  <c r="R18" i="1"/>
  <c r="S18" i="1" s="1"/>
  <c r="O18" i="1" s="1"/>
  <c r="Q19" i="1"/>
  <c r="R19" i="1"/>
  <c r="S19" i="1" s="1"/>
  <c r="O19" i="1" s="1"/>
  <c r="Q20" i="1"/>
  <c r="R20" i="1"/>
  <c r="S20" i="1" s="1"/>
  <c r="O20" i="1" s="1"/>
  <c r="Q21" i="1"/>
  <c r="R21" i="1"/>
  <c r="S21" i="1" s="1"/>
  <c r="O21" i="1" s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R3" i="1"/>
  <c r="Q3" i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2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" i="2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AC20" i="2"/>
  <c r="AC18" i="2"/>
  <c r="AC11" i="2"/>
  <c r="AC8" i="2"/>
  <c r="AC2" i="2"/>
  <c r="S3" i="1" l="1"/>
  <c r="O3" i="1" s="1"/>
  <c r="T78" i="1" l="1"/>
  <c r="U78" i="1"/>
  <c r="T79" i="1"/>
  <c r="U79" i="1"/>
  <c r="T80" i="1"/>
  <c r="U80" i="1"/>
  <c r="T81" i="1"/>
  <c r="U81" i="1"/>
  <c r="U82" i="1"/>
  <c r="T83" i="1"/>
  <c r="U83" i="1"/>
  <c r="T84" i="1"/>
  <c r="U84" i="1"/>
  <c r="T85" i="1"/>
  <c r="U85" i="1"/>
  <c r="T86" i="1"/>
  <c r="U86" i="1"/>
  <c r="U87" i="1"/>
  <c r="T88" i="1"/>
  <c r="U88" i="1"/>
  <c r="T89" i="1"/>
  <c r="U89" i="1"/>
  <c r="T90" i="1"/>
  <c r="U90" i="1"/>
  <c r="U91" i="1"/>
  <c r="T92" i="1"/>
  <c r="U92" i="1"/>
  <c r="T93" i="1"/>
  <c r="U93" i="1"/>
  <c r="T94" i="1"/>
  <c r="U94" i="1"/>
  <c r="U95" i="1"/>
  <c r="U96" i="1"/>
  <c r="U97" i="1"/>
  <c r="U98" i="1"/>
  <c r="U99" i="1"/>
  <c r="T100" i="1"/>
  <c r="U100" i="1"/>
  <c r="T101" i="1"/>
  <c r="U101" i="1"/>
  <c r="T102" i="1"/>
  <c r="U102" i="1"/>
  <c r="U103" i="1"/>
  <c r="U104" i="1"/>
  <c r="U105" i="1"/>
  <c r="U106" i="1"/>
  <c r="T107" i="1"/>
  <c r="U107" i="1"/>
  <c r="T108" i="1"/>
  <c r="U108" i="1"/>
  <c r="T109" i="1"/>
  <c r="U109" i="1"/>
  <c r="U110" i="1"/>
  <c r="U111" i="1"/>
  <c r="T112" i="1"/>
  <c r="U112" i="1"/>
  <c r="T113" i="1"/>
  <c r="U113" i="1"/>
  <c r="U114" i="1"/>
  <c r="U115" i="1"/>
  <c r="U116" i="1"/>
  <c r="T117" i="1"/>
  <c r="U117" i="1"/>
  <c r="T118" i="1"/>
  <c r="U118" i="1"/>
  <c r="T119" i="1"/>
  <c r="U119" i="1"/>
  <c r="U120" i="1"/>
  <c r="U121" i="1"/>
  <c r="U122" i="1"/>
  <c r="U123" i="1"/>
  <c r="T124" i="1"/>
  <c r="U124" i="1"/>
  <c r="T125" i="1"/>
  <c r="U125" i="1"/>
  <c r="T126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T148" i="1"/>
  <c r="U148" i="1"/>
  <c r="T149" i="1"/>
  <c r="U149" i="1"/>
  <c r="T150" i="1"/>
  <c r="U150" i="1"/>
  <c r="T151" i="1"/>
  <c r="U151" i="1"/>
  <c r="T152" i="1"/>
  <c r="U152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57" i="1"/>
  <c r="U56" i="1"/>
  <c r="U55" i="1"/>
  <c r="U54" i="1"/>
  <c r="U53" i="1"/>
  <c r="U52" i="1"/>
  <c r="U51" i="1"/>
  <c r="U50" i="1"/>
  <c r="U49" i="1"/>
  <c r="U48" i="1"/>
  <c r="U47" i="1"/>
  <c r="U46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153" i="1" s="1"/>
  <c r="M147" i="1"/>
  <c r="T147" i="1" s="1"/>
  <c r="M146" i="1"/>
  <c r="T146" i="1" s="1"/>
  <c r="M145" i="1"/>
  <c r="T145" i="1" s="1"/>
  <c r="M144" i="1"/>
  <c r="T144" i="1" s="1"/>
  <c r="M143" i="1"/>
  <c r="T143" i="1" s="1"/>
  <c r="M142" i="1"/>
  <c r="T142" i="1" s="1"/>
  <c r="M141" i="1"/>
  <c r="T141" i="1" s="1"/>
  <c r="M140" i="1"/>
  <c r="T140" i="1" s="1"/>
  <c r="M139" i="1"/>
  <c r="T139" i="1" s="1"/>
  <c r="M138" i="1"/>
  <c r="T138" i="1" s="1"/>
  <c r="M137" i="1"/>
  <c r="T137" i="1" s="1"/>
  <c r="M130" i="1"/>
  <c r="T130" i="1" s="1"/>
  <c r="M129" i="1"/>
  <c r="T129" i="1" s="1"/>
  <c r="M128" i="1"/>
  <c r="T128" i="1" s="1"/>
  <c r="M127" i="1"/>
  <c r="T127" i="1" s="1"/>
  <c r="M123" i="1"/>
  <c r="T123" i="1" s="1"/>
  <c r="M122" i="1"/>
  <c r="T122" i="1" s="1"/>
  <c r="M121" i="1"/>
  <c r="T121" i="1" s="1"/>
  <c r="M120" i="1"/>
  <c r="T120" i="1" s="1"/>
  <c r="M116" i="1"/>
  <c r="T116" i="1" s="1"/>
  <c r="M104" i="1"/>
  <c r="T104" i="1" s="1"/>
  <c r="M103" i="1"/>
  <c r="T103" i="1" s="1"/>
  <c r="M97" i="1"/>
  <c r="T97" i="1" s="1"/>
  <c r="M96" i="1"/>
  <c r="T96" i="1" s="1"/>
  <c r="M95" i="1"/>
  <c r="T95" i="1" s="1"/>
  <c r="M91" i="1"/>
  <c r="T91" i="1" s="1"/>
  <c r="M87" i="1"/>
  <c r="T87" i="1" s="1"/>
  <c r="M82" i="1"/>
  <c r="T82" i="1" s="1"/>
  <c r="M77" i="1"/>
  <c r="T77" i="1" s="1"/>
  <c r="M76" i="1"/>
  <c r="T76" i="1" s="1"/>
  <c r="M75" i="1"/>
  <c r="T75" i="1" s="1"/>
  <c r="M74" i="1"/>
  <c r="T74" i="1" s="1"/>
  <c r="M73" i="1"/>
  <c r="T73" i="1" s="1"/>
  <c r="M72" i="1"/>
  <c r="T72" i="1" s="1"/>
  <c r="M71" i="1"/>
  <c r="T71" i="1" s="1"/>
  <c r="M70" i="1"/>
  <c r="T70" i="1" s="1"/>
  <c r="M69" i="1"/>
  <c r="T69" i="1" s="1"/>
  <c r="M68" i="1"/>
  <c r="T68" i="1" s="1"/>
  <c r="M67" i="1"/>
  <c r="T67" i="1" s="1"/>
  <c r="M66" i="1"/>
  <c r="T66" i="1" s="1"/>
  <c r="M65" i="1"/>
  <c r="T65" i="1" s="1"/>
  <c r="M64" i="1"/>
  <c r="T64" i="1" s="1"/>
  <c r="M63" i="1"/>
  <c r="T63" i="1" s="1"/>
  <c r="M62" i="1"/>
  <c r="T62" i="1" s="1"/>
  <c r="M61" i="1"/>
  <c r="T61" i="1" s="1"/>
  <c r="M57" i="1"/>
  <c r="T57" i="1" s="1"/>
  <c r="M56" i="1"/>
  <c r="T56" i="1" s="1"/>
  <c r="M55" i="1"/>
  <c r="T55" i="1" s="1"/>
  <c r="M54" i="1"/>
  <c r="T54" i="1" s="1"/>
  <c r="M51" i="1"/>
  <c r="T51" i="1" s="1"/>
  <c r="M50" i="1"/>
  <c r="T50" i="1" s="1"/>
  <c r="M49" i="1"/>
  <c r="T49" i="1" s="1"/>
  <c r="M48" i="1"/>
  <c r="T48" i="1" s="1"/>
  <c r="M47" i="1"/>
  <c r="T47" i="1" s="1"/>
  <c r="M46" i="1"/>
  <c r="T46" i="1" s="1"/>
  <c r="M42" i="1"/>
  <c r="T42" i="1" s="1"/>
  <c r="M41" i="1"/>
  <c r="T41" i="1" s="1"/>
  <c r="M40" i="1"/>
  <c r="T40" i="1" s="1"/>
  <c r="M39" i="1"/>
  <c r="T39" i="1" s="1"/>
  <c r="M38" i="1"/>
  <c r="T38" i="1" s="1"/>
  <c r="M37" i="1"/>
  <c r="T37" i="1" s="1"/>
  <c r="M36" i="1"/>
  <c r="T36" i="1" s="1"/>
  <c r="M35" i="1"/>
  <c r="T35" i="1" s="1"/>
  <c r="M34" i="1"/>
  <c r="T34" i="1" s="1"/>
  <c r="M33" i="1"/>
  <c r="T33" i="1" s="1"/>
  <c r="M32" i="1"/>
  <c r="T32" i="1" s="1"/>
  <c r="M31" i="1"/>
  <c r="T31" i="1" s="1"/>
  <c r="M30" i="1"/>
  <c r="T30" i="1" s="1"/>
  <c r="M29" i="1"/>
  <c r="T29" i="1" s="1"/>
  <c r="M28" i="1"/>
  <c r="T28" i="1" s="1"/>
  <c r="M27" i="1"/>
  <c r="T27" i="1" s="1"/>
  <c r="M26" i="1"/>
  <c r="T26" i="1" s="1"/>
  <c r="M16" i="1"/>
  <c r="T16" i="1" s="1"/>
  <c r="M15" i="1"/>
  <c r="T15" i="1" s="1"/>
  <c r="M14" i="1"/>
  <c r="T14" i="1" s="1"/>
  <c r="M13" i="1"/>
  <c r="T13" i="1" s="1"/>
  <c r="M12" i="1"/>
  <c r="T12" i="1" s="1"/>
  <c r="M11" i="1"/>
  <c r="T11" i="1" s="1"/>
  <c r="M9" i="1"/>
  <c r="T9" i="1" s="1"/>
  <c r="M136" i="1"/>
  <c r="T136" i="1" s="1"/>
  <c r="M135" i="1"/>
  <c r="T135" i="1" s="1"/>
  <c r="M134" i="1"/>
  <c r="T134" i="1" s="1"/>
  <c r="M133" i="1"/>
  <c r="T133" i="1" s="1"/>
  <c r="M132" i="1"/>
  <c r="T132" i="1" s="1"/>
  <c r="M131" i="1"/>
  <c r="T131" i="1" s="1"/>
  <c r="M115" i="1"/>
  <c r="T115" i="1" s="1"/>
  <c r="M114" i="1"/>
  <c r="T114" i="1" s="1"/>
  <c r="M111" i="1"/>
  <c r="T111" i="1" s="1"/>
  <c r="M110" i="1"/>
  <c r="T110" i="1" s="1"/>
  <c r="M106" i="1"/>
  <c r="T106" i="1" s="1"/>
  <c r="M105" i="1"/>
  <c r="T105" i="1" s="1"/>
  <c r="M99" i="1"/>
  <c r="T99" i="1" s="1"/>
  <c r="M98" i="1"/>
  <c r="T98" i="1" s="1"/>
  <c r="M53" i="1"/>
  <c r="T53" i="1" s="1"/>
  <c r="M52" i="1"/>
  <c r="T52" i="1" s="1"/>
  <c r="M20" i="1"/>
  <c r="T20" i="1" s="1"/>
  <c r="M19" i="1"/>
  <c r="T19" i="1" s="1"/>
  <c r="M18" i="1"/>
  <c r="T18" i="1" s="1"/>
  <c r="M17" i="1"/>
  <c r="T17" i="1" s="1"/>
  <c r="M10" i="1"/>
  <c r="T10" i="1" s="1"/>
  <c r="M8" i="1"/>
  <c r="T8" i="1" s="1"/>
  <c r="M7" i="1"/>
  <c r="T7" i="1" s="1"/>
  <c r="M6" i="1"/>
  <c r="T6" i="1" s="1"/>
  <c r="M5" i="1"/>
  <c r="T5" i="1" s="1"/>
  <c r="M4" i="1"/>
  <c r="T4" i="1" s="1"/>
  <c r="M3" i="1"/>
  <c r="T3" i="1" s="1"/>
  <c r="T153" i="1" s="1"/>
  <c r="AE55" i="1"/>
  <c r="AE56" i="1"/>
  <c r="AE57" i="1"/>
  <c r="AE54" i="1"/>
  <c r="AE22" i="1"/>
  <c r="AE23" i="1"/>
  <c r="AB147" i="1"/>
  <c r="I147" i="1"/>
  <c r="AD147" i="1" s="1"/>
  <c r="H147" i="1"/>
  <c r="AC147" i="1" s="1"/>
  <c r="AB146" i="1"/>
  <c r="I146" i="1"/>
  <c r="AD146" i="1" s="1"/>
  <c r="H146" i="1"/>
  <c r="AC146" i="1" s="1"/>
  <c r="AB145" i="1"/>
  <c r="I145" i="1"/>
  <c r="AD145" i="1" s="1"/>
  <c r="H145" i="1"/>
  <c r="AC145" i="1" s="1"/>
  <c r="AB144" i="1"/>
  <c r="I144" i="1"/>
  <c r="AD144" i="1" s="1"/>
  <c r="H144" i="1"/>
  <c r="AC144" i="1" s="1"/>
  <c r="AB143" i="1"/>
  <c r="I143" i="1"/>
  <c r="AD143" i="1" s="1"/>
  <c r="H143" i="1"/>
  <c r="AC143" i="1" s="1"/>
  <c r="AB142" i="1"/>
  <c r="I142" i="1"/>
  <c r="AD142" i="1" s="1"/>
  <c r="H142" i="1"/>
  <c r="AC142" i="1" s="1"/>
  <c r="AB141" i="1"/>
  <c r="I141" i="1"/>
  <c r="AD141" i="1" s="1"/>
  <c r="H141" i="1"/>
  <c r="AC141" i="1" s="1"/>
  <c r="AB140" i="1"/>
  <c r="I140" i="1"/>
  <c r="AD140" i="1" s="1"/>
  <c r="H140" i="1"/>
  <c r="AC140" i="1" s="1"/>
  <c r="AB139" i="1"/>
  <c r="I139" i="1"/>
  <c r="AD139" i="1" s="1"/>
  <c r="H139" i="1"/>
  <c r="AC139" i="1" s="1"/>
  <c r="AB138" i="1"/>
  <c r="I138" i="1"/>
  <c r="AD138" i="1" s="1"/>
  <c r="H138" i="1"/>
  <c r="AC138" i="1" s="1"/>
  <c r="AB137" i="1"/>
  <c r="I137" i="1"/>
  <c r="AD137" i="1" s="1"/>
  <c r="H137" i="1"/>
  <c r="AC137" i="1" s="1"/>
  <c r="AB136" i="1"/>
  <c r="I136" i="1"/>
  <c r="AD136" i="1" s="1"/>
  <c r="H136" i="1"/>
  <c r="AC136" i="1" s="1"/>
  <c r="AB135" i="1"/>
  <c r="I135" i="1"/>
  <c r="AD135" i="1" s="1"/>
  <c r="H135" i="1"/>
  <c r="AC135" i="1" s="1"/>
  <c r="AB134" i="1"/>
  <c r="I134" i="1"/>
  <c r="AD134" i="1" s="1"/>
  <c r="H134" i="1"/>
  <c r="AC134" i="1" s="1"/>
  <c r="AB133" i="1"/>
  <c r="I133" i="1"/>
  <c r="AD133" i="1" s="1"/>
  <c r="H133" i="1"/>
  <c r="AC133" i="1" s="1"/>
  <c r="AB132" i="1"/>
  <c r="I132" i="1"/>
  <c r="AD132" i="1" s="1"/>
  <c r="H132" i="1"/>
  <c r="AC132" i="1" s="1"/>
  <c r="AB131" i="1"/>
  <c r="I131" i="1"/>
  <c r="AD131" i="1" s="1"/>
  <c r="H131" i="1"/>
  <c r="AC131" i="1" s="1"/>
  <c r="AB130" i="1"/>
  <c r="I130" i="1"/>
  <c r="AD130" i="1" s="1"/>
  <c r="H130" i="1"/>
  <c r="AC130" i="1" s="1"/>
  <c r="AB129" i="1"/>
  <c r="I129" i="1"/>
  <c r="AD129" i="1" s="1"/>
  <c r="H129" i="1"/>
  <c r="AC129" i="1" s="1"/>
  <c r="AB128" i="1"/>
  <c r="I128" i="1"/>
  <c r="AD128" i="1" s="1"/>
  <c r="H128" i="1"/>
  <c r="AC128" i="1" s="1"/>
  <c r="AB127" i="1"/>
  <c r="AB148" i="1" s="1"/>
  <c r="AB149" i="1" s="1"/>
  <c r="I127" i="1"/>
  <c r="AD127" i="1" s="1"/>
  <c r="AD148" i="1" s="1"/>
  <c r="AD149" i="1" s="1"/>
  <c r="H127" i="1"/>
  <c r="AC127" i="1" s="1"/>
  <c r="AC148" i="1" s="1"/>
  <c r="AC149" i="1" s="1"/>
  <c r="AB123" i="1"/>
  <c r="I123" i="1"/>
  <c r="AD123" i="1" s="1"/>
  <c r="H123" i="1"/>
  <c r="AC123" i="1" s="1"/>
  <c r="AB122" i="1"/>
  <c r="I122" i="1"/>
  <c r="AD122" i="1" s="1"/>
  <c r="H122" i="1"/>
  <c r="AC122" i="1" s="1"/>
  <c r="AB121" i="1"/>
  <c r="I121" i="1"/>
  <c r="H121" i="1"/>
  <c r="AD120" i="1"/>
  <c r="AC120" i="1"/>
  <c r="AB120" i="1"/>
  <c r="AB124" i="1" s="1"/>
  <c r="AB125" i="1" s="1"/>
  <c r="AB116" i="1"/>
  <c r="I116" i="1"/>
  <c r="AD116" i="1" s="1"/>
  <c r="H116" i="1"/>
  <c r="AC116" i="1" s="1"/>
  <c r="AB115" i="1"/>
  <c r="I115" i="1"/>
  <c r="AD115" i="1" s="1"/>
  <c r="H115" i="1"/>
  <c r="AC115" i="1" s="1"/>
  <c r="AB114" i="1"/>
  <c r="AB117" i="1" s="1"/>
  <c r="AB118" i="1" s="1"/>
  <c r="I114" i="1"/>
  <c r="AD114" i="1" s="1"/>
  <c r="AD117" i="1" s="1"/>
  <c r="AD118" i="1" s="1"/>
  <c r="H114" i="1"/>
  <c r="AC114" i="1" s="1"/>
  <c r="AC117" i="1" s="1"/>
  <c r="AC118" i="1" s="1"/>
  <c r="I111" i="1"/>
  <c r="AD111" i="1" s="1"/>
  <c r="H111" i="1"/>
  <c r="AC111" i="1" s="1"/>
  <c r="I110" i="1"/>
  <c r="AD110" i="1" s="1"/>
  <c r="H110" i="1"/>
  <c r="AC110" i="1" s="1"/>
  <c r="AB106" i="1"/>
  <c r="I106" i="1"/>
  <c r="AD106" i="1" s="1"/>
  <c r="H106" i="1"/>
  <c r="AC106" i="1" s="1"/>
  <c r="AB105" i="1"/>
  <c r="I105" i="1"/>
  <c r="AD105" i="1" s="1"/>
  <c r="H105" i="1"/>
  <c r="AC105" i="1" s="1"/>
  <c r="AB104" i="1"/>
  <c r="I104" i="1"/>
  <c r="AD104" i="1" s="1"/>
  <c r="H104" i="1"/>
  <c r="AC104" i="1" s="1"/>
  <c r="AB103" i="1"/>
  <c r="AB107" i="1" s="1"/>
  <c r="AB108" i="1" s="1"/>
  <c r="I103" i="1"/>
  <c r="AD103" i="1" s="1"/>
  <c r="AD107" i="1" s="1"/>
  <c r="AD108" i="1" s="1"/>
  <c r="H103" i="1"/>
  <c r="AC103" i="1" s="1"/>
  <c r="AC107" i="1" s="1"/>
  <c r="AC108" i="1" s="1"/>
  <c r="AB99" i="1"/>
  <c r="I99" i="1"/>
  <c r="AD99" i="1" s="1"/>
  <c r="H99" i="1"/>
  <c r="AC99" i="1" s="1"/>
  <c r="AB98" i="1"/>
  <c r="I98" i="1"/>
  <c r="AD98" i="1" s="1"/>
  <c r="H98" i="1"/>
  <c r="AC98" i="1" s="1"/>
  <c r="AB97" i="1"/>
  <c r="I97" i="1"/>
  <c r="AD97" i="1" s="1"/>
  <c r="H97" i="1"/>
  <c r="AC97" i="1" s="1"/>
  <c r="AB96" i="1"/>
  <c r="I96" i="1"/>
  <c r="AD96" i="1" s="1"/>
  <c r="H96" i="1"/>
  <c r="AC96" i="1" s="1"/>
  <c r="AB95" i="1"/>
  <c r="I95" i="1"/>
  <c r="AD95" i="1" s="1"/>
  <c r="H95" i="1"/>
  <c r="AC95" i="1" s="1"/>
  <c r="I91" i="1"/>
  <c r="H91" i="1"/>
  <c r="AB91" i="1" s="1"/>
  <c r="I87" i="1"/>
  <c r="H87" i="1"/>
  <c r="AB87" i="1" s="1"/>
  <c r="I86" i="1"/>
  <c r="H86" i="1"/>
  <c r="AB86" i="1" s="1"/>
  <c r="AB88" i="1" s="1"/>
  <c r="AB82" i="1"/>
  <c r="AB75" i="1"/>
  <c r="AB74" i="1"/>
  <c r="AB73" i="1"/>
  <c r="AB72" i="1"/>
  <c r="I72" i="1"/>
  <c r="AB71" i="1"/>
  <c r="I71" i="1"/>
  <c r="AB70" i="1"/>
  <c r="I70" i="1"/>
  <c r="AB69" i="1"/>
  <c r="I69" i="1"/>
  <c r="H69" i="1"/>
  <c r="AB68" i="1"/>
  <c r="I68" i="1"/>
  <c r="H68" i="1"/>
  <c r="AB67" i="1"/>
  <c r="I67" i="1"/>
  <c r="H67" i="1"/>
  <c r="AB66" i="1"/>
  <c r="I66" i="1"/>
  <c r="H66" i="1"/>
  <c r="AB65" i="1"/>
  <c r="I65" i="1"/>
  <c r="H65" i="1"/>
  <c r="AB64" i="1"/>
  <c r="I64" i="1"/>
  <c r="H64" i="1"/>
  <c r="AB63" i="1"/>
  <c r="I63" i="1"/>
  <c r="H63" i="1"/>
  <c r="AB62" i="1"/>
  <c r="I62" i="1"/>
  <c r="H62" i="1"/>
  <c r="AB61" i="1"/>
  <c r="AB76" i="1" s="1"/>
  <c r="I61" i="1"/>
  <c r="H61" i="1"/>
  <c r="AD57" i="1"/>
  <c r="AC57" i="1"/>
  <c r="AB57" i="1"/>
  <c r="D57" i="1"/>
  <c r="AD56" i="1"/>
  <c r="AC56" i="1"/>
  <c r="AB56" i="1"/>
  <c r="D56" i="1"/>
  <c r="AD55" i="1"/>
  <c r="AC55" i="1"/>
  <c r="AB55" i="1"/>
  <c r="D55" i="1"/>
  <c r="AD54" i="1"/>
  <c r="AC54" i="1"/>
  <c r="AB54" i="1"/>
  <c r="D54" i="1"/>
  <c r="AD53" i="1"/>
  <c r="AC53" i="1"/>
  <c r="AB53" i="1"/>
  <c r="D53" i="1"/>
  <c r="AD52" i="1"/>
  <c r="AC52" i="1"/>
  <c r="AB52" i="1"/>
  <c r="D52" i="1"/>
  <c r="AD51" i="1"/>
  <c r="AC51" i="1"/>
  <c r="AB51" i="1"/>
  <c r="D51" i="1"/>
  <c r="AD50" i="1"/>
  <c r="AC50" i="1"/>
  <c r="AB50" i="1"/>
  <c r="D50" i="1"/>
  <c r="AD49" i="1"/>
  <c r="AC49" i="1"/>
  <c r="AB49" i="1"/>
  <c r="D49" i="1"/>
  <c r="AD48" i="1"/>
  <c r="AC48" i="1"/>
  <c r="AB48" i="1"/>
  <c r="D48" i="1"/>
  <c r="AD47" i="1"/>
  <c r="AC47" i="1"/>
  <c r="AB47" i="1"/>
  <c r="D47" i="1"/>
  <c r="AD46" i="1"/>
  <c r="AD58" i="1" s="1"/>
  <c r="AD59" i="1" s="1"/>
  <c r="AC46" i="1"/>
  <c r="AC58" i="1" s="1"/>
  <c r="AC59" i="1" s="1"/>
  <c r="AB46" i="1"/>
  <c r="AB58" i="1" s="1"/>
  <c r="AB59" i="1" s="1"/>
  <c r="D46" i="1"/>
  <c r="D45" i="1"/>
  <c r="AD42" i="1"/>
  <c r="AC42" i="1"/>
  <c r="AB42" i="1"/>
  <c r="D42" i="1"/>
  <c r="AD41" i="1"/>
  <c r="AC41" i="1"/>
  <c r="AB41" i="1"/>
  <c r="D41" i="1"/>
  <c r="AD40" i="1"/>
  <c r="AC40" i="1"/>
  <c r="AB40" i="1"/>
  <c r="D40" i="1"/>
  <c r="AB39" i="1"/>
  <c r="I39" i="1"/>
  <c r="AD39" i="1" s="1"/>
  <c r="H39" i="1"/>
  <c r="AC39" i="1" s="1"/>
  <c r="D39" i="1"/>
  <c r="AB38" i="1"/>
  <c r="I38" i="1"/>
  <c r="AD38" i="1" s="1"/>
  <c r="H38" i="1"/>
  <c r="AC38" i="1" s="1"/>
  <c r="D38" i="1"/>
  <c r="AD37" i="1"/>
  <c r="AC37" i="1"/>
  <c r="AB37" i="1"/>
  <c r="D37" i="1"/>
  <c r="AD36" i="1"/>
  <c r="AC36" i="1"/>
  <c r="AB36" i="1"/>
  <c r="D36" i="1"/>
  <c r="AD35" i="1"/>
  <c r="AC35" i="1"/>
  <c r="AB35" i="1"/>
  <c r="D35" i="1"/>
  <c r="AB34" i="1"/>
  <c r="I34" i="1"/>
  <c r="AD34" i="1" s="1"/>
  <c r="H34" i="1"/>
  <c r="AC34" i="1" s="1"/>
  <c r="D34" i="1"/>
  <c r="AB33" i="1"/>
  <c r="I33" i="1"/>
  <c r="AD33" i="1" s="1"/>
  <c r="H33" i="1"/>
  <c r="AC33" i="1" s="1"/>
  <c r="D33" i="1"/>
  <c r="AB32" i="1"/>
  <c r="I32" i="1"/>
  <c r="AD32" i="1" s="1"/>
  <c r="H32" i="1"/>
  <c r="AC32" i="1" s="1"/>
  <c r="D32" i="1"/>
  <c r="AB31" i="1"/>
  <c r="I31" i="1"/>
  <c r="AD31" i="1" s="1"/>
  <c r="H31" i="1"/>
  <c r="AC31" i="1" s="1"/>
  <c r="D31" i="1"/>
  <c r="AB30" i="1"/>
  <c r="I30" i="1"/>
  <c r="AD30" i="1" s="1"/>
  <c r="H30" i="1"/>
  <c r="AC30" i="1" s="1"/>
  <c r="D30" i="1"/>
  <c r="AB29" i="1"/>
  <c r="I29" i="1"/>
  <c r="AD29" i="1" s="1"/>
  <c r="H29" i="1"/>
  <c r="AC29" i="1" s="1"/>
  <c r="D29" i="1"/>
  <c r="AB28" i="1"/>
  <c r="I28" i="1"/>
  <c r="AD28" i="1" s="1"/>
  <c r="H28" i="1"/>
  <c r="AC28" i="1" s="1"/>
  <c r="D28" i="1"/>
  <c r="AB27" i="1"/>
  <c r="I27" i="1"/>
  <c r="AD27" i="1" s="1"/>
  <c r="H27" i="1"/>
  <c r="AC27" i="1" s="1"/>
  <c r="D27" i="1"/>
  <c r="AB26" i="1"/>
  <c r="AB43" i="1" s="1"/>
  <c r="AB44" i="1" s="1"/>
  <c r="I26" i="1"/>
  <c r="AD26" i="1" s="1"/>
  <c r="AD43" i="1" s="1"/>
  <c r="AD44" i="1" s="1"/>
  <c r="H26" i="1"/>
  <c r="AC26" i="1" s="1"/>
  <c r="AC43" i="1" s="1"/>
  <c r="AC44" i="1" s="1"/>
  <c r="D26" i="1"/>
  <c r="D25" i="1"/>
  <c r="AC21" i="1"/>
  <c r="AB21" i="1"/>
  <c r="I21" i="1"/>
  <c r="D21" i="1"/>
  <c r="AC20" i="1"/>
  <c r="AB20" i="1"/>
  <c r="I20" i="1"/>
  <c r="D20" i="1"/>
  <c r="AC19" i="1"/>
  <c r="AB19" i="1"/>
  <c r="I19" i="1"/>
  <c r="D19" i="1"/>
  <c r="AC18" i="1"/>
  <c r="AB18" i="1"/>
  <c r="I18" i="1"/>
  <c r="D18" i="1"/>
  <c r="AC17" i="1"/>
  <c r="AB17" i="1"/>
  <c r="I17" i="1"/>
  <c r="D17" i="1"/>
  <c r="AC16" i="1"/>
  <c r="AB16" i="1"/>
  <c r="I16" i="1"/>
  <c r="D16" i="1"/>
  <c r="AC15" i="1"/>
  <c r="AB15" i="1"/>
  <c r="I15" i="1"/>
  <c r="D15" i="1"/>
  <c r="AC14" i="1"/>
  <c r="AB14" i="1"/>
  <c r="I14" i="1"/>
  <c r="D14" i="1"/>
  <c r="AC13" i="1"/>
  <c r="AB13" i="1"/>
  <c r="V13" i="1"/>
  <c r="I13" i="1"/>
  <c r="D13" i="1"/>
  <c r="AC12" i="1"/>
  <c r="AB12" i="1"/>
  <c r="V12" i="1"/>
  <c r="I12" i="1"/>
  <c r="D12" i="1"/>
  <c r="AC11" i="1"/>
  <c r="AB11" i="1"/>
  <c r="V11" i="1"/>
  <c r="I11" i="1"/>
  <c r="D11" i="1"/>
  <c r="AC10" i="1"/>
  <c r="AB10" i="1"/>
  <c r="V10" i="1"/>
  <c r="I10" i="1"/>
  <c r="D10" i="1"/>
  <c r="AC9" i="1"/>
  <c r="AB9" i="1"/>
  <c r="V9" i="1"/>
  <c r="I9" i="1"/>
  <c r="D9" i="1"/>
  <c r="AC8" i="1"/>
  <c r="AB8" i="1"/>
  <c r="I8" i="1"/>
  <c r="D8" i="1"/>
  <c r="AC7" i="1"/>
  <c r="AB7" i="1"/>
  <c r="I7" i="1"/>
  <c r="D7" i="1"/>
  <c r="AC6" i="1"/>
  <c r="AB6" i="1"/>
  <c r="I6" i="1"/>
  <c r="D6" i="1"/>
  <c r="AC5" i="1"/>
  <c r="AB5" i="1"/>
  <c r="I5" i="1"/>
  <c r="D5" i="1"/>
  <c r="AC4" i="1"/>
  <c r="AB4" i="1"/>
  <c r="I4" i="1"/>
  <c r="D4" i="1"/>
  <c r="AC3" i="1"/>
  <c r="AC22" i="1" s="1"/>
  <c r="AC23" i="1" s="1"/>
  <c r="AB3" i="1"/>
  <c r="AB22" i="1" s="1"/>
  <c r="AB23" i="1" s="1"/>
  <c r="V3" i="1"/>
  <c r="I3" i="1"/>
  <c r="D3" i="1"/>
  <c r="AE3" i="1" l="1"/>
  <c r="AD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C121" i="1"/>
  <c r="AC124" i="1" s="1"/>
  <c r="AC125" i="1" s="1"/>
  <c r="AF121" i="1"/>
  <c r="AE121" i="1"/>
  <c r="AD121" i="1"/>
  <c r="AD124" i="1" s="1"/>
  <c r="AD125" i="1" s="1"/>
  <c r="AD22" i="1" l="1"/>
  <c r="AD23" i="1" s="1"/>
</calcChain>
</file>

<file path=xl/sharedStrings.xml><?xml version="1.0" encoding="utf-8"?>
<sst xmlns="http://schemas.openxmlformats.org/spreadsheetml/2006/main" count="2679" uniqueCount="566">
  <si>
    <t>Fornitore</t>
  </si>
  <si>
    <t>Codice</t>
  </si>
  <si>
    <t>disegno</t>
  </si>
  <si>
    <t>descrizione</t>
  </si>
  <si>
    <t>FINITURA</t>
  </si>
  <si>
    <t>DESTINAZIONE</t>
  </si>
  <si>
    <t>lotto field test 50 tende</t>
  </si>
  <si>
    <t>lotto 200 tende</t>
  </si>
  <si>
    <t>Lotto produzione a regime 500 tende</t>
  </si>
  <si>
    <t>€ pz lotto field test 50 tende</t>
  </si>
  <si>
    <t>€ pz lotto 200 tende</t>
  </si>
  <si>
    <t>€ pz lotto 500 tende</t>
  </si>
  <si>
    <t>pz ricavabili con mag presso terxista 18/7</t>
  </si>
  <si>
    <t>LT totale (gg da ordine, escluso tutto agosto)</t>
  </si>
  <si>
    <t xml:space="preserve">Le configurazioni </t>
  </si>
  <si>
    <t>LT totale (gg da ordine, escludere tutto agosto)</t>
  </si>
  <si>
    <t>nota prima di ordinare</t>
  </si>
  <si>
    <t>CPA</t>
  </si>
  <si>
    <t>090364</t>
  </si>
  <si>
    <t>T0002.206A</t>
  </si>
  <si>
    <t>ANODIZZATO</t>
  </si>
  <si>
    <t>saccolongo</t>
  </si>
  <si>
    <t>0050</t>
  </si>
  <si>
    <t>non estrudere per il momento (forse materiale per 2 anni)</t>
  </si>
  <si>
    <t>131401</t>
  </si>
  <si>
    <t>T0002.452</t>
  </si>
  <si>
    <t>131386</t>
  </si>
  <si>
    <t>T0002.411</t>
  </si>
  <si>
    <t>GREZZO</t>
  </si>
  <si>
    <t>veggiano</t>
  </si>
  <si>
    <t>0000 + colori mag</t>
  </si>
  <si>
    <t>131388</t>
  </si>
  <si>
    <t>T0002.433</t>
  </si>
  <si>
    <t>131389</t>
  </si>
  <si>
    <t>T0002.435</t>
  </si>
  <si>
    <t>131390</t>
  </si>
  <si>
    <t>T0002.453</t>
  </si>
  <si>
    <t>090359</t>
  </si>
  <si>
    <t>T0002.246A</t>
  </si>
  <si>
    <t>090361</t>
  </si>
  <si>
    <t>T0002.217A</t>
  </si>
  <si>
    <t>estrudi per gennaio</t>
  </si>
  <si>
    <t>aspetta ad ordinare</t>
  </si>
  <si>
    <t>090362</t>
  </si>
  <si>
    <t>T0002.249A</t>
  </si>
  <si>
    <t>090363</t>
  </si>
  <si>
    <t>T0002.220A</t>
  </si>
  <si>
    <t>090365</t>
  </si>
  <si>
    <t>T0002.245A</t>
  </si>
  <si>
    <t>131374</t>
  </si>
  <si>
    <t>T0002.232A</t>
  </si>
  <si>
    <t>131375</t>
  </si>
  <si>
    <t>T0002.417</t>
  </si>
  <si>
    <t>0000</t>
  </si>
  <si>
    <t>131377</t>
  </si>
  <si>
    <t>T0002.426</t>
  </si>
  <si>
    <t>131391</t>
  </si>
  <si>
    <t>T0002.431</t>
  </si>
  <si>
    <t>131403</t>
  </si>
  <si>
    <t>T0002.455S</t>
  </si>
  <si>
    <t>131404</t>
  </si>
  <si>
    <t>T0002.455</t>
  </si>
  <si>
    <t>131405</t>
  </si>
  <si>
    <t>T0002.456</t>
  </si>
  <si>
    <t>131406</t>
  </si>
  <si>
    <t>T0002.457</t>
  </si>
  <si>
    <t>procedere col verde</t>
  </si>
  <si>
    <t>colore</t>
  </si>
  <si>
    <t>lotto field test</t>
  </si>
  <si>
    <t>lotto 200 moduli</t>
  </si>
  <si>
    <t>Lotto produzione a regime 500 moduli</t>
  </si>
  <si>
    <t>€ pz lotto field test</t>
  </si>
  <si>
    <t>€ pz lotto 200 moduli</t>
  </si>
  <si>
    <t>€ pz lotto 500 moduli</t>
  </si>
  <si>
    <t>4C</t>
  </si>
  <si>
    <t>111459</t>
  </si>
  <si>
    <t>3GE40.005</t>
  </si>
  <si>
    <t>P073</t>
  </si>
  <si>
    <t>VEGGIANO</t>
  </si>
  <si>
    <t>111460</t>
  </si>
  <si>
    <t>T0002.137</t>
  </si>
  <si>
    <t>111461</t>
  </si>
  <si>
    <t>T0002.138</t>
  </si>
  <si>
    <t>111462</t>
  </si>
  <si>
    <t>T0002.136</t>
  </si>
  <si>
    <t>111463</t>
  </si>
  <si>
    <t>T0002.135</t>
  </si>
  <si>
    <t>111464</t>
  </si>
  <si>
    <t>T0002.115</t>
  </si>
  <si>
    <t>111465</t>
  </si>
  <si>
    <t>T0002.141</t>
  </si>
  <si>
    <t>P134</t>
  </si>
  <si>
    <t>SACCOLONGO</t>
  </si>
  <si>
    <t>111466</t>
  </si>
  <si>
    <t>T0002.129</t>
  </si>
  <si>
    <t>111467</t>
  </si>
  <si>
    <t>T0002.150</t>
  </si>
  <si>
    <t>111468</t>
  </si>
  <si>
    <t>T0002.133</t>
  </si>
  <si>
    <t>P053</t>
  </si>
  <si>
    <t>111470</t>
  </si>
  <si>
    <t>T0002.139</t>
  </si>
  <si>
    <t>111471</t>
  </si>
  <si>
    <t>T0002.112</t>
  </si>
  <si>
    <t>111472</t>
  </si>
  <si>
    <t>T0002.119</t>
  </si>
  <si>
    <t>111473</t>
  </si>
  <si>
    <t>T0002.120</t>
  </si>
  <si>
    <t>111474</t>
  </si>
  <si>
    <t>T0002.121</t>
  </si>
  <si>
    <t>fornitore</t>
  </si>
  <si>
    <t>lotto 1</t>
  </si>
  <si>
    <t>lotto 2</t>
  </si>
  <si>
    <t>Lotto 3</t>
  </si>
  <si>
    <t>€ pz lotto 1</t>
  </si>
  <si>
    <t>€ pz lotto 2</t>
  </si>
  <si>
    <t>€ pz lotto 3</t>
  </si>
  <si>
    <t>LT totale (gg da ordine, escludere tutto agosto) gz + vr</t>
  </si>
  <si>
    <t>alubrass</t>
  </si>
  <si>
    <t>101031</t>
  </si>
  <si>
    <t>T0002.011</t>
  </si>
  <si>
    <t>grezzo</t>
  </si>
  <si>
    <t>101032</t>
  </si>
  <si>
    <t>T0002.012S</t>
  </si>
  <si>
    <t>101033</t>
  </si>
  <si>
    <t>T0002.012</t>
  </si>
  <si>
    <t>101034</t>
  </si>
  <si>
    <t>T0002.002S</t>
  </si>
  <si>
    <t>101035</t>
  </si>
  <si>
    <t>T0002.002</t>
  </si>
  <si>
    <t>101036</t>
  </si>
  <si>
    <t>T0002.007</t>
  </si>
  <si>
    <t>101037</t>
  </si>
  <si>
    <t>T0002.004L</t>
  </si>
  <si>
    <t>101038</t>
  </si>
  <si>
    <t>T0002.010L</t>
  </si>
  <si>
    <t>101039</t>
  </si>
  <si>
    <t>T0002.006SL1</t>
  </si>
  <si>
    <t>101040</t>
  </si>
  <si>
    <t>T0002.006L2</t>
  </si>
  <si>
    <t>101041</t>
  </si>
  <si>
    <t>T0002.001LS</t>
  </si>
  <si>
    <t>101042</t>
  </si>
  <si>
    <t>T0002.001L</t>
  </si>
  <si>
    <t>codice</t>
  </si>
  <si>
    <t>num disegno</t>
  </si>
  <si>
    <t>configurazione</t>
  </si>
  <si>
    <t>MOQ</t>
  </si>
  <si>
    <t>b&amp;m</t>
  </si>
  <si>
    <t>140600</t>
  </si>
  <si>
    <t>AUTOFILETTANTE TSP TORX 3,9X9,5 INOX</t>
  </si>
  <si>
    <r>
      <t xml:space="preserve">8000 in casa ma </t>
    </r>
    <r>
      <rPr>
        <sz val="11"/>
        <rFont val="Aptos Narrow"/>
        <family val="2"/>
        <scheme val="minor"/>
      </rPr>
      <t xml:space="preserve">a </t>
    </r>
    <r>
      <rPr>
        <b/>
        <sz val="11"/>
        <rFont val="Aptos Narrow"/>
        <family val="2"/>
        <scheme val="minor"/>
      </rPr>
      <t>+ e NON TORX</t>
    </r>
    <r>
      <rPr>
        <sz val="11"/>
        <color theme="1"/>
        <rFont val="Aptos Narrow"/>
        <family val="2"/>
        <scheme val="minor"/>
      </rPr>
      <t xml:space="preserve"> (CODICE SBAGLIATO)</t>
    </r>
  </si>
  <si>
    <t>non ordinare</t>
  </si>
  <si>
    <t>140749</t>
  </si>
  <si>
    <t>GRANO EI M 6x10 PP INOX</t>
  </si>
  <si>
    <t>1700 in casa disponibili</t>
  </si>
  <si>
    <t>146210</t>
  </si>
  <si>
    <t>ANELLO ELASTICO ALBERO D14 INOX</t>
  </si>
  <si>
    <t>146419</t>
  </si>
  <si>
    <t>T0002.438</t>
  </si>
  <si>
    <t xml:space="preserve">CHIAVETTA DI TRASMISSIONE 4X4X25 </t>
  </si>
  <si>
    <t>ord 50</t>
  </si>
  <si>
    <t>rivedere qty offerta</t>
  </si>
  <si>
    <t>146421</t>
  </si>
  <si>
    <t>DIN 914</t>
  </si>
  <si>
    <t xml:space="preserve">GRANO EI PUNTA CONICA M8x20 INOX </t>
  </si>
  <si>
    <t>ord 400</t>
  </si>
  <si>
    <t>146422</t>
  </si>
  <si>
    <t>ISO 2338</t>
  </si>
  <si>
    <t xml:space="preserve">SPINA CILINDRICA 4x8 INOX </t>
  </si>
  <si>
    <t>146426</t>
  </si>
  <si>
    <t>DIN EN ISO 4762</t>
  </si>
  <si>
    <t xml:space="preserve">VITE TCEI M5x50 INOX </t>
  </si>
  <si>
    <t>146430</t>
  </si>
  <si>
    <t>DIN ISO 10642</t>
  </si>
  <si>
    <t xml:space="preserve">VITE TSPEI M4x12 INOX </t>
  </si>
  <si>
    <t>146431</t>
  </si>
  <si>
    <t xml:space="preserve">VITE TSPEI M5x20 INOX </t>
  </si>
  <si>
    <t>ord 1000</t>
  </si>
  <si>
    <t>146425</t>
  </si>
  <si>
    <t xml:space="preserve">VITE TCEI M10x50 INOX </t>
  </si>
  <si>
    <t>146428</t>
  </si>
  <si>
    <t>3GE02.036</t>
  </si>
  <si>
    <t xml:space="preserve">VITE TRILOBATA TSPEI M5x12 INOX </t>
  </si>
  <si>
    <t>146429</t>
  </si>
  <si>
    <t>3GE02.038</t>
  </si>
  <si>
    <t xml:space="preserve">VITE TRILOBATA TSPEI M5x8 INOX </t>
  </si>
  <si>
    <t>146157</t>
  </si>
  <si>
    <t>AUTOFILETTANTE TSP TORX 4,8x19 INOX</t>
  </si>
  <si>
    <t>146436</t>
  </si>
  <si>
    <t>DIN ISO 10642VITE TSPEI M 5x16 INOX</t>
  </si>
  <si>
    <t>146440</t>
  </si>
  <si>
    <t>GRANO EI M 8x50 PC INOX</t>
  </si>
  <si>
    <t>146251</t>
  </si>
  <si>
    <t>aggiunte da Valentina</t>
  </si>
  <si>
    <t>attendo qty da Valentina</t>
  </si>
  <si>
    <t>140597</t>
  </si>
  <si>
    <t>non trasmesso</t>
  </si>
  <si>
    <t>cherubini</t>
  </si>
  <si>
    <t>260055</t>
  </si>
  <si>
    <t>ARGANELLO COPPIA CONICA 3:1</t>
  </si>
  <si>
    <t>lotto minimo 25</t>
  </si>
  <si>
    <t>Descrizione</t>
  </si>
  <si>
    <t>LT totale (gg da ordine)</t>
  </si>
  <si>
    <t>Eri</t>
  </si>
  <si>
    <t>131376</t>
  </si>
  <si>
    <t>T0002.436</t>
  </si>
  <si>
    <t>CHIOCCIOLA DI SOLLEVAMENTO GAMBA TELESCOPICA ZEROGRADI</t>
  </si>
  <si>
    <t>P000</t>
  </si>
  <si>
    <t>scelto megaveneto</t>
  </si>
  <si>
    <t>131399</t>
  </si>
  <si>
    <t>T0002.445</t>
  </si>
  <si>
    <t>PIASTRINO INF BLOCCA TELO ZIP</t>
  </si>
  <si>
    <t>erreti</t>
  </si>
  <si>
    <t>220045</t>
  </si>
  <si>
    <t>T0002.512</t>
  </si>
  <si>
    <t xml:space="preserve">CINGHIA DI TENSIONAMENTO 12X1 MONOASOLA  </t>
  </si>
  <si>
    <t>COLORE</t>
  </si>
  <si>
    <t>Fastpoint</t>
  </si>
  <si>
    <t>260053</t>
  </si>
  <si>
    <t>3VA10.045</t>
  </si>
  <si>
    <t>MANOVELLA GAMBA TELESCOPICA ZEROGRADI</t>
  </si>
  <si>
    <t>NERO</t>
  </si>
  <si>
    <t>lotto 1 pz</t>
  </si>
  <si>
    <t>320111</t>
  </si>
  <si>
    <t>3VA10.050</t>
  </si>
  <si>
    <t xml:space="preserve">PIEDINO ADESIVO PARACOLPI 12.7x3.5 </t>
  </si>
  <si>
    <t>TRASPARENTE</t>
  </si>
  <si>
    <t>lotto 3000</t>
  </si>
  <si>
    <t>111458</t>
  </si>
  <si>
    <t>3VA10.049</t>
  </si>
  <si>
    <t>PASSACAVO MORBIDO 14X8X10 SP3</t>
  </si>
  <si>
    <t>111489</t>
  </si>
  <si>
    <t>3VA10.051</t>
  </si>
  <si>
    <t>RONDELLA DISTANZ 28X18.2 H4.5</t>
  </si>
  <si>
    <t>lotto 1000</t>
  </si>
  <si>
    <t>320048</t>
  </si>
  <si>
    <t>3VA10.012</t>
  </si>
  <si>
    <t>CLIP DENTELLATA Ø15X17.7 FORO Ø5</t>
  </si>
  <si>
    <t>1000 in casa - lotto 1000 pz</t>
  </si>
  <si>
    <t>larinox</t>
  </si>
  <si>
    <t>131392</t>
  </si>
  <si>
    <t>3GE30.051</t>
  </si>
  <si>
    <t>TUBO TONDO D50X1.5 L730 - INOX ZEROGRADI</t>
  </si>
  <si>
    <t>-</t>
  </si>
  <si>
    <t>131393</t>
  </si>
  <si>
    <t>3GE30.049</t>
  </si>
  <si>
    <t>TUBO TONDO D20X1.5 L367 - INOX ZEROGRADI</t>
  </si>
  <si>
    <t>131394</t>
  </si>
  <si>
    <t>3GE30.052A</t>
  </si>
  <si>
    <t>TUBO TONDO D54X1.5 L120 - INOX ZEROGRADI</t>
  </si>
  <si>
    <t>131395</t>
  </si>
  <si>
    <t>3GE30.052F</t>
  </si>
  <si>
    <t>TUBO TONDO D54X1.5 L730 - INOX ZEROGRADI</t>
  </si>
  <si>
    <t>megaveneto</t>
  </si>
  <si>
    <t>131373</t>
  </si>
  <si>
    <t>3GE50.002</t>
  </si>
  <si>
    <t xml:space="preserve">VITE TRAPEZOIDALE TR20X4 - L 565 </t>
  </si>
  <si>
    <t>Mollificio Rizzato</t>
  </si>
  <si>
    <t>160159</t>
  </si>
  <si>
    <t>T0002.503S</t>
  </si>
  <si>
    <t>MOLLA DI TENSIONAMENTO RULLO DX ZEROGRADI</t>
  </si>
  <si>
    <t>160160</t>
  </si>
  <si>
    <t>T0002.503</t>
  </si>
  <si>
    <t>MOLLA DI TENSIONAMENTO RULLO SX ZEROGRADI</t>
  </si>
  <si>
    <t>160161</t>
  </si>
  <si>
    <t>T0002.511</t>
  </si>
  <si>
    <t>MOLLA GANCIO FRONTALE  ZEROGRADI</t>
  </si>
  <si>
    <t>tecnofast</t>
  </si>
  <si>
    <t>131378</t>
  </si>
  <si>
    <t>T0002.418</t>
  </si>
  <si>
    <t>PERNO MANOVELLA GAMBA TELESCOPICA ZEROGRADI</t>
  </si>
  <si>
    <t>131379</t>
  </si>
  <si>
    <t>T0002.407</t>
  </si>
  <si>
    <t>PERNO ROTELLE-RINVII D12X17.5 + M8 ZEROGRADI</t>
  </si>
  <si>
    <t>131380</t>
  </si>
  <si>
    <t>T0002.440</t>
  </si>
  <si>
    <t>PERNO SUPPORTO ATTACCO PARETE ZEROGRADI</t>
  </si>
  <si>
    <t>131382</t>
  </si>
  <si>
    <t>T0002.405</t>
  </si>
  <si>
    <t>PERNO TENSIONATORE LATO FOLLE ZEROGRADI</t>
  </si>
  <si>
    <t>tovotec</t>
  </si>
  <si>
    <t>122233</t>
  </si>
  <si>
    <t>T0002.W04S</t>
  </si>
  <si>
    <t>CONTROTAPPO TESTATA VOLANT DX</t>
  </si>
  <si>
    <t>0187</t>
  </si>
  <si>
    <t>122234</t>
  </si>
  <si>
    <t>T0002.W04</t>
  </si>
  <si>
    <t>CONTROTAPPO TESTATA VOLANT SX</t>
  </si>
  <si>
    <t>131383</t>
  </si>
  <si>
    <t>T0002.412</t>
  </si>
  <si>
    <t>PIASTRA ANCORAGGIO GUIDA ACCOPPIATA BASE ZEROGRADI</t>
  </si>
  <si>
    <t>131384</t>
  </si>
  <si>
    <t>T0002.415</t>
  </si>
  <si>
    <t>PIASTRA ANCORAGGIO GUIDA ACCOPPIATA UNIONE ZEROGRADI</t>
  </si>
  <si>
    <t>131385</t>
  </si>
  <si>
    <t>T0002.414</t>
  </si>
  <si>
    <t>PIASTRA ANCORAGGIO GUIDA BASE ZEROGRADI</t>
  </si>
  <si>
    <t>131387</t>
  </si>
  <si>
    <t>T0002.413</t>
  </si>
  <si>
    <t>PIASTRA ANCORAGGIO GUIDA MENSOLA DISASSATA ZEROGRADI</t>
  </si>
  <si>
    <t>122235</t>
  </si>
  <si>
    <t>T0002.308</t>
  </si>
  <si>
    <t>CONTROTAPPO CARRELLO FRONTALE  ZEROGRADI</t>
  </si>
  <si>
    <t>122236</t>
  </si>
  <si>
    <t>T0002.317</t>
  </si>
  <si>
    <t>COVER SUPPORTO FRANGITRATTA  ZEROGRADI</t>
  </si>
  <si>
    <t>122238</t>
  </si>
  <si>
    <t>T0002.307</t>
  </si>
  <si>
    <t>GANCETTO BLOCCACINGHIA FRONTALE  ZEROGRADI</t>
  </si>
  <si>
    <t>122239</t>
  </si>
  <si>
    <t>T0002.322</t>
  </si>
  <si>
    <t xml:space="preserve">PIASTRINO 60X8X4 FORI M5 </t>
  </si>
  <si>
    <t>122241</t>
  </si>
  <si>
    <t>T0002.318</t>
  </si>
  <si>
    <t>PIASTRINO SNODO GUIDA DOPPIA ZEROGRADI</t>
  </si>
  <si>
    <t>122242</t>
  </si>
  <si>
    <t>T0002.320</t>
  </si>
  <si>
    <t>PIASTRINO SNODO GUIDA SINGOLA ZEROGRADI</t>
  </si>
  <si>
    <t>122244</t>
  </si>
  <si>
    <t>H0074.607</t>
  </si>
  <si>
    <t>PIEDINO GAMBA MAGGIORATO CENTRALE ZEROGRADI</t>
  </si>
  <si>
    <t>122245</t>
  </si>
  <si>
    <t>T0002.310</t>
  </si>
  <si>
    <t>PIEDINO GAMBA MONOLITICA ZEROGRADI</t>
  </si>
  <si>
    <t>122246</t>
  </si>
  <si>
    <t>T0002.321</t>
  </si>
  <si>
    <t>TAPPO TETTUCCIO  ZEROGRADI</t>
  </si>
  <si>
    <t>122255</t>
  </si>
  <si>
    <t>T0002.W03</t>
  </si>
  <si>
    <t>STAFFA SOFFITTO ZERO</t>
  </si>
  <si>
    <t>122266</t>
  </si>
  <si>
    <t>T0002.336</t>
  </si>
  <si>
    <t>CHIUSURA TAPPO GUIDA SENZA ZIP</t>
  </si>
  <si>
    <t>122267</t>
  </si>
  <si>
    <t>T0002.346</t>
  </si>
  <si>
    <t>CARTER PIEDE GAMBA FISSA</t>
  </si>
  <si>
    <t>122268</t>
  </si>
  <si>
    <t>H0074.613</t>
  </si>
  <si>
    <t>CARTER PIEDE MAGGIORATO GAMBA 110</t>
  </si>
  <si>
    <t>131402</t>
  </si>
  <si>
    <t>T0002.448</t>
  </si>
  <si>
    <t>PATTINO GAMBA TELESCOPICA 4X10X105</t>
  </si>
  <si>
    <t>122269</t>
  </si>
  <si>
    <t>T0002.350</t>
  </si>
  <si>
    <t>PIN COLLEGAMENTO VOLANT PIATTO</t>
  </si>
  <si>
    <t>dobbiamo confermare il disegno</t>
  </si>
  <si>
    <t>Trafilo</t>
  </si>
  <si>
    <t>020183</t>
  </si>
  <si>
    <t>T0002.253</t>
  </si>
  <si>
    <t>GUARNIZIONE ROMPIACQUA ZEROGRADI - WGB</t>
  </si>
  <si>
    <t>100 pz da 6 metri</t>
  </si>
  <si>
    <t>400 pz da 6 metri</t>
  </si>
  <si>
    <t>1000 pz da 6 metri</t>
  </si>
  <si>
    <t>100 m in casa</t>
  </si>
  <si>
    <t>ok di marco</t>
  </si>
  <si>
    <t>in giallo prezzo da inserire a listino x codognini</t>
  </si>
  <si>
    <t>confronto prezzo 200pz con lotto da 500</t>
  </si>
  <si>
    <t>prezzo da inserire</t>
  </si>
  <si>
    <t>costo totale con ragionamento su lotto acquisto</t>
  </si>
  <si>
    <t>costo tot se acquistassi tutto per "500 tende".</t>
  </si>
  <si>
    <t>costo verniciatura</t>
  </si>
  <si>
    <t>resta gz</t>
  </si>
  <si>
    <t>arriva già così</t>
  </si>
  <si>
    <t>non c'è a sistema</t>
  </si>
  <si>
    <t>a commessa-non ho il costo</t>
  </si>
  <si>
    <t>verificare se va verniciata a commessa</t>
  </si>
  <si>
    <t>Implementazione distinta su smeup</t>
  </si>
  <si>
    <t>Rif kit</t>
  </si>
  <si>
    <t xml:space="preserve">Classe di riferimento </t>
  </si>
  <si>
    <t>Note sul posizionamento</t>
  </si>
  <si>
    <t xml:space="preserve">La massima misura di taglio </t>
  </si>
  <si>
    <t>Il massimo numero indicativo di pz (PER MODULO - non PER KIT)</t>
  </si>
  <si>
    <t>Codice nuovo? (ci sono codici NON nuovi??)</t>
  </si>
  <si>
    <t xml:space="preserve">La configurazione colore </t>
  </si>
  <si>
    <t xml:space="preserve">Chi assembla il componente all’interno del reparto </t>
  </si>
  <si>
    <t>Prefisso della sequenza</t>
  </si>
  <si>
    <t>Passa per le cassettine?</t>
  </si>
  <si>
    <t>reparto</t>
  </si>
  <si>
    <t>Classe di programmazione</t>
  </si>
  <si>
    <t>Crit configurazione</t>
  </si>
  <si>
    <t xml:space="preserve">La classe gestionale </t>
  </si>
  <si>
    <t>Parametro configurazione di partenza conto lavoro</t>
  </si>
  <si>
    <t xml:space="preserve">Cat. Logistica </t>
  </si>
  <si>
    <t>Ciclo alternativo sul 150</t>
  </si>
  <si>
    <t>Centro di lavoro (solo per i profili)</t>
  </si>
  <si>
    <t>Inseribile</t>
  </si>
  <si>
    <t>peso a metro matrice</t>
  </si>
  <si>
    <t>codice ricavato</t>
  </si>
  <si>
    <t>misura pz (mm)</t>
  </si>
  <si>
    <t>pz per barra</t>
  </si>
  <si>
    <t>010608</t>
  </si>
  <si>
    <t>PR SUPPORTO CASSONETTO SUPERIORE ZEROGRADI - WGB</t>
  </si>
  <si>
    <t>no</t>
  </si>
  <si>
    <t>01 - Estrusi metallici</t>
  </si>
  <si>
    <t>DA LAVORARE - non in distinta - serve per ricavare 090364</t>
  </si>
  <si>
    <t>si</t>
  </si>
  <si>
    <t>Fissa</t>
  </si>
  <si>
    <t>004</t>
  </si>
  <si>
    <t>000006000</t>
  </si>
  <si>
    <t>PRALU</t>
  </si>
  <si>
    <t>anodall extrusion</t>
  </si>
  <si>
    <t>Inserito in Smeup o comunicato al CED o deciso</t>
  </si>
  <si>
    <t>010609</t>
  </si>
  <si>
    <t>PR GUIDA C-ZIP ZEROGRADI - WGB</t>
  </si>
  <si>
    <t>IN VISTA</t>
  </si>
  <si>
    <t>Struttura</t>
  </si>
  <si>
    <t>Reparto</t>
  </si>
  <si>
    <t>quante con e senza zip? Tot 100 o tot 200?</t>
  </si>
  <si>
    <t>Da inserire in smeup</t>
  </si>
  <si>
    <t>010611</t>
  </si>
  <si>
    <t>PR GUIDA SENZA ZIP ZEROGRADI - WGB</t>
  </si>
  <si>
    <t>010616</t>
  </si>
  <si>
    <t>PR TETTUCCIO ROTABILE ZEROGRADI - WGB</t>
  </si>
  <si>
    <t>OPTIONAL - IN VISTA</t>
  </si>
  <si>
    <t>Cliente</t>
  </si>
  <si>
    <t>minimo 100  barre, ok?</t>
  </si>
  <si>
    <t>000006050</t>
  </si>
  <si>
    <t>010617</t>
  </si>
  <si>
    <t>PR SUPPORTO GUIDE AD INCASTRO ZEROGRADI - WGB</t>
  </si>
  <si>
    <t>DA LAVORARE - non in distinta - serve per ricavare 090361</t>
  </si>
  <si>
    <t>010618</t>
  </si>
  <si>
    <t>PR QUADRO 70X70 4 OGIVE</t>
  </si>
  <si>
    <t>OPTIONAL - IN VISTA - frangitratta (sempre se L o S&gt;5m o a richiesta maz 2pz per tenda) o gamba telescopica o singola (a richiesta max 2pz)</t>
  </si>
  <si>
    <t>Frangitratta 5946 - gambe&lt;2800</t>
  </si>
  <si>
    <t>30 intanto? Vedi utilizzo</t>
  </si>
  <si>
    <t>010619</t>
  </si>
  <si>
    <t>PR SUPPORTO TETTUCCIO ZEROGRADI - WGB</t>
  </si>
  <si>
    <t>DA LAVORARE - serve per ricavare 090363</t>
  </si>
  <si>
    <t>010627</t>
  </si>
  <si>
    <t>PR CASSONETTO MONOBLOCCO PORTANTE ZEROGRADI - WGB</t>
  </si>
  <si>
    <t>010628</t>
  </si>
  <si>
    <t>PR CHIUSURA CASSONETTO PORTA LED ZEROGRADI - WGB</t>
  </si>
  <si>
    <t>010629</t>
  </si>
  <si>
    <t>PR AGGANCIO CASSONETTO PARETE ZEROGRADI - WGB</t>
  </si>
  <si>
    <t>DA LAVORARE - serve per ricavare 090359</t>
  </si>
  <si>
    <t>003</t>
  </si>
  <si>
    <t>010630</t>
  </si>
  <si>
    <t>PR MONOOGIVA ANCORABILE ZEROGRADI - WGB</t>
  </si>
  <si>
    <t>SI VEDE SOLO DALL'ALTO</t>
  </si>
  <si>
    <t>minimo 100 barre</t>
  </si>
  <si>
    <t>010631</t>
  </si>
  <si>
    <t>PR PROLUNGA GUARNIZIONE ROMPIACQUA ZEROGRADI - WGB</t>
  </si>
  <si>
    <t>010633</t>
  </si>
  <si>
    <t>PR COVER CASSONETTO VOLANT D49 ZEROGRADI - WGB</t>
  </si>
  <si>
    <t>010634</t>
  </si>
  <si>
    <t>PR FRONTALE AGGANCIABILE ZEROGRADI - WGB</t>
  </si>
  <si>
    <t>010635</t>
  </si>
  <si>
    <t>PR REGGISTRIP ZEROGRADI - WGB</t>
  </si>
  <si>
    <t>NON IN VISTA</t>
  </si>
  <si>
    <t>005106000</t>
  </si>
  <si>
    <t>010636</t>
  </si>
  <si>
    <t>PR CASSONETTO PORTANTE VOLANT D49 ZEROGRADI - WGB</t>
  </si>
  <si>
    <t>010637</t>
  </si>
  <si>
    <t>PR ANTISOLLEVAMENTO SUPP PARETE ZEROGRADI - WGB</t>
  </si>
  <si>
    <t xml:space="preserve">DA LAVORARE - serve per ricavare 090362  </t>
  </si>
  <si>
    <t>010638</t>
  </si>
  <si>
    <t>PR CASSONETTO INSERIBILE SUPERIORE ZEROGRADI - WGB</t>
  </si>
  <si>
    <t>010639</t>
  </si>
  <si>
    <t>PR SUPPORTO PARETE ANCORABILE ZEROGRADI - WGB</t>
  </si>
  <si>
    <t>DA LAVORARE - serve per ricavare 090365</t>
  </si>
  <si>
    <t>22 - Funi-Cinghie</t>
  </si>
  <si>
    <t>//</t>
  </si>
  <si>
    <t>da verificare se le altre cinghie arrivano con configurazioni; arriva nera, leggermente in vista</t>
  </si>
  <si>
    <t>14 - Elementi di fissaggio</t>
  </si>
  <si>
    <t>No Configurazione</t>
  </si>
  <si>
    <t>In kit</t>
  </si>
  <si>
    <t>26 - Accessorio/Altro materiale</t>
  </si>
  <si>
    <t>PASSACAVO MORBIDO 14X8X10 SP3 ZEROGRADI</t>
  </si>
  <si>
    <t>11 - Stampati plastica</t>
  </si>
  <si>
    <t>32 - Commerciali</t>
  </si>
  <si>
    <t>272347 + 272359</t>
  </si>
  <si>
    <t>272343 + 272346 + 272349</t>
  </si>
  <si>
    <t>272345+272348+272355+272356</t>
  </si>
  <si>
    <t>272343+272400</t>
  </si>
  <si>
    <t>272345+272355</t>
  </si>
  <si>
    <t>16 - Molle catene</t>
  </si>
  <si>
    <t>272348+272356</t>
  </si>
  <si>
    <t>12 - Tagliati laser e inseparabili</t>
  </si>
  <si>
    <t>13 - Lavorati Meccanici</t>
  </si>
  <si>
    <t>OPTIONAL - NON IN VISTA</t>
  </si>
  <si>
    <t>272343+272344+272346+272400</t>
  </si>
  <si>
    <t>ANCORAMENTO TETTUCCIO SUPPORTO PARETE ZEROGRADI</t>
  </si>
  <si>
    <t>elettrocolore nero</t>
  </si>
  <si>
    <t>BASAMENTO RINVIO ANGOLARE  GAMBA TELESCOPICA ZEROGRADI</t>
  </si>
  <si>
    <t>DISCO FINECORSA GAMBA TELESCOPICA ZEROGRADI</t>
  </si>
  <si>
    <t>PIASTRA ANCORAGGIO GUIDA MENSOLA ANGOLARE ZEROGRADI</t>
  </si>
  <si>
    <t>cpa</t>
  </si>
  <si>
    <t>SNODO GAMBA-GUIDA LATO GAMBA ZEROGRADI</t>
  </si>
  <si>
    <t>SNODO GAMBA-GUIDA LATO GUIDA ZEROGRADI</t>
  </si>
  <si>
    <t>STAFFETTA SUPPORTO TENSIONATORE ZEROGRADI</t>
  </si>
  <si>
    <t>SUPPORTO FRANGITRATTA STATICO ZEROGRADI</t>
  </si>
  <si>
    <t>ABBASTANZA NASCOSTO</t>
  </si>
  <si>
    <t>SUPPORTO CASSONETTO SUPERIORE  ZEROGRADI</t>
  </si>
  <si>
    <t>09 - Mozziconi</t>
  </si>
  <si>
    <t>ANCORAGGIO GUIDA  ZEROGRADI</t>
  </si>
  <si>
    <t>272353+272357</t>
  </si>
  <si>
    <t>AGGANCIO CASSONETTO PARETE ROTABILE LAVORATO ZEROGRADI</t>
  </si>
  <si>
    <t>ANTI SOLLEVAMENTO SUPPORTO PARETE ROTABILE LAVORATO ZEROGRADI</t>
  </si>
  <si>
    <t>SUPPORTINO TETTUCCIO LAVORATO ZEROGRADI</t>
  </si>
  <si>
    <t>272347+272359</t>
  </si>
  <si>
    <t>SUPPORTO PARETE ANCORABILE ROTABILE LAVORATO ZEROGRADI</t>
  </si>
  <si>
    <t>272345+272348</t>
  </si>
  <si>
    <t>272355+272356</t>
  </si>
  <si>
    <t>ROTELLA TERMINALE ANTI SCAVALLAMENTO ZEROGRADI</t>
  </si>
  <si>
    <t>AVVOLGICINGHIA CHIUSURA LATO FOLLE ZEROGRADI</t>
  </si>
  <si>
    <t>AVVOLGICINGHIA CHIUSURA LATO MOTORE ZEROGRADI</t>
  </si>
  <si>
    <t>AVVOLGICINGHIA CORONA ESTERNA ZEROGRADI</t>
  </si>
  <si>
    <t>AVVOLGICINGHIA SEMISUPPORTO PRINCIPALE ZEROGRADI</t>
  </si>
  <si>
    <t>GUSCIO SUPPORTO MOLLA LATO INTERNO ZEROGRADI</t>
  </si>
  <si>
    <t>PROTEGGI TELO FRANGITRATTA ZEROGRADI</t>
  </si>
  <si>
    <t>ROTELLA CARRELLO-RINVIO ZEROGRADI</t>
  </si>
  <si>
    <t>TAPPINO ANCORAGGIO GUIDA  ZEROGRADI</t>
  </si>
  <si>
    <t>TAPPO CHIUSURA SUPERIORE GAMBA TELESCOPICA ZEROGRADI</t>
  </si>
  <si>
    <t>Abbinamento struttura</t>
  </si>
  <si>
    <t>P055, P073, …..</t>
  </si>
  <si>
    <t>TRASCINATORE MOLLA ESTREMO Ø100 ZEROGRADI</t>
  </si>
  <si>
    <t>versione rullo 100 in sospeso</t>
  </si>
  <si>
    <t>TRASCINATORE MOLLA ESTREMO Ø85 ZEROGRADI</t>
  </si>
  <si>
    <t>TRASCINATORE MOTORE MOLLA BASE ZEROGRADI</t>
  </si>
  <si>
    <t>TRASCINATORE MOTORE MOLLA CHERUBINI P/ZEROGRADI</t>
  </si>
  <si>
    <t>TRASCINATORE MOTORE MOLLA NICE P/ZEROGRADI</t>
  </si>
  <si>
    <t>TRASCINATORE MOTORE MOLLA SOMFY P/ZEROGRADI</t>
  </si>
  <si>
    <t>COVER TESTATA SX ZEROGRADI</t>
  </si>
  <si>
    <t>10 - Stampati alluminio</t>
  </si>
  <si>
    <t>COVER TESTATA DX ZEROGRADI</t>
  </si>
  <si>
    <t>TAPPO CON ROCCHETTO GUIDA ZIP  ZEROGRADI</t>
  </si>
  <si>
    <t>TAPPO FRONTALE SX  ZEROGRADI</t>
  </si>
  <si>
    <t>TAPPO FRONTALE DX  ZEROGRADI</t>
  </si>
  <si>
    <t>TAPPINO FINITURA GUIDA ZIP ZEROGRADI</t>
  </si>
  <si>
    <t>TAPPO CON ROCCHETTO SENZA ZIP  ZEROGRADI</t>
  </si>
  <si>
    <t>AGGANCIO CINGHIOLO GUIDA SENZA ZIP ZEROGRADI</t>
  </si>
  <si>
    <t>BLOCCA TELO FRONTALE SX - CON ZIP ZEROGRADI</t>
  </si>
  <si>
    <t>BLOCCA TELO FRONTALE DX - CON ZIP ZEROGRADI</t>
  </si>
  <si>
    <t>TESTATA PORTANTE DX ZEROGRADI</t>
  </si>
  <si>
    <t>TESTATA PORTANTE SX ZEROGRADI</t>
  </si>
  <si>
    <t>02 - Estrusi plastica</t>
  </si>
  <si>
    <t>6000 mm</t>
  </si>
  <si>
    <t>090368</t>
  </si>
  <si>
    <t>PR QUADRO 70x70 L 759 GAMBA TEL ZERO</t>
  </si>
  <si>
    <t>fissa</t>
  </si>
  <si>
    <t>come uno dei colori a magazzino</t>
  </si>
  <si>
    <t>rep taglio</t>
  </si>
  <si>
    <t>272343+272344</t>
  </si>
  <si>
    <t>ex CLIP DENTELLATA Ø15X17.7 FORO Ø5</t>
  </si>
  <si>
    <t>eri</t>
  </si>
  <si>
    <t>ex AUTOFILETTANTE TSP TORX 3,9X9,5 INOX</t>
  </si>
  <si>
    <t xml:space="preserve">no </t>
  </si>
  <si>
    <t>EX GRANO EI M 6x10 PP INOX</t>
  </si>
  <si>
    <t>BLOCCA MOTORE SUPERIORE</t>
  </si>
  <si>
    <t>TAPPO CASSONETTO VOLANT DX</t>
  </si>
  <si>
    <t>acq</t>
  </si>
  <si>
    <t>TAPPO CASSONETTO VOLANT SX</t>
  </si>
  <si>
    <t>PIN COLLEGAMENTO VOLANT LAVORATO</t>
  </si>
  <si>
    <t>SUPPORTO INTERMEDIO TETTUCCIO</t>
  </si>
  <si>
    <t>peso metro</t>
  </si>
  <si>
    <t>misura (mm)</t>
  </si>
  <si>
    <t>peso pz</t>
  </si>
  <si>
    <t>valore alluminio mozzicone</t>
  </si>
  <si>
    <t>non da listino</t>
  </si>
  <si>
    <t>AVANTI DA QUA</t>
  </si>
  <si>
    <t>8000 in casa ma a + e NON TORX (CODICE SBAGLIATO)</t>
  </si>
  <si>
    <t>profilo da cui si ricava</t>
  </si>
  <si>
    <t>costo totale articolo</t>
  </si>
  <si>
    <t>prezzo da rivedere - guarnizione da confermare</t>
  </si>
  <si>
    <t>prezzo da inserire a listino forn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</si>
</sst>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quotePrefix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0" xfId="0" quotePrefix="1" applyAlignment="1">
      <alignment horizontal="center" vertical="center"/>
    </xf>
    <xf numFmtId="49" fontId="0" fillId="0" borderId="2" xfId="0" applyNumberFormat="1" applyBorder="1"/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4" xfId="0" applyBorder="1"/>
    <xf numFmtId="0" fontId="0" fillId="4" borderId="0" xfId="0" applyFill="1"/>
    <xf numFmtId="0" fontId="0" fillId="2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0" fontId="0" fillId="6" borderId="2" xfId="0" applyFill="1" applyBorder="1"/>
    <xf numFmtId="0" fontId="0" fillId="6" borderId="0" xfId="0" applyFill="1"/>
    <xf numFmtId="0" fontId="0" fillId="2" borderId="2" xfId="0" applyFill="1" applyBorder="1" applyAlignment="1">
      <alignment wrapText="1"/>
    </xf>
    <xf numFmtId="0" fontId="0" fillId="0" borderId="2" xfId="0" quotePrefix="1" applyBorder="1"/>
    <xf numFmtId="0" fontId="0" fillId="5" borderId="2" xfId="0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/>
    </xf>
    <xf numFmtId="0" fontId="0" fillId="5" borderId="0" xfId="0" applyFill="1"/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0" fillId="6" borderId="2" xfId="0" quotePrefix="1" applyFill="1" applyBorder="1" applyAlignment="1">
      <alignment horizontal="center" vertical="center" wrapText="1"/>
    </xf>
    <xf numFmtId="0" fontId="0" fillId="7" borderId="2" xfId="0" quotePrefix="1" applyFill="1" applyBorder="1"/>
    <xf numFmtId="0" fontId="0" fillId="0" borderId="2" xfId="0" quotePrefix="1" applyBorder="1" applyAlignment="1">
      <alignment horizontal="center" vertical="center" wrapText="1"/>
    </xf>
    <xf numFmtId="1" fontId="0" fillId="0" borderId="0" xfId="0" applyNumberFormat="1"/>
    <xf numFmtId="0" fontId="0" fillId="0" borderId="2" xfId="0" applyBorder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5" borderId="2" xfId="0" applyFill="1" applyBorder="1"/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0" xfId="0" applyFill="1"/>
    <xf numFmtId="0" fontId="0" fillId="0" borderId="0" xfId="0" applyAlignment="1">
      <alignment vertical="center"/>
    </xf>
    <xf numFmtId="0" fontId="0" fillId="8" borderId="2" xfId="0" applyFill="1" applyBorder="1" applyAlignment="1">
      <alignment horizontal="center" vertical="center" wrapText="1"/>
    </xf>
    <xf numFmtId="0" fontId="0" fillId="8" borderId="2" xfId="0" applyFill="1" applyBorder="1"/>
    <xf numFmtId="0" fontId="0" fillId="3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0" fontId="0" fillId="9" borderId="0" xfId="0" applyFill="1" applyAlignment="1">
      <alignment wrapText="1"/>
    </xf>
    <xf numFmtId="49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0" fontId="0" fillId="10" borderId="0" xfId="0" applyFill="1"/>
    <xf numFmtId="0" fontId="0" fillId="0" borderId="0" xfId="0" quotePrefix="1"/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0" fillId="5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2" fontId="0" fillId="8" borderId="2" xfId="0" applyNumberFormat="1" applyFill="1" applyBorder="1"/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2" fontId="0" fillId="0" borderId="0" xfId="0" applyNumberFormat="1"/>
    <xf numFmtId="0" fontId="0" fillId="11" borderId="2" xfId="0" applyFill="1" applyBorder="1" applyAlignment="1">
      <alignment horizontal="center" vertical="center" wrapText="1"/>
    </xf>
    <xf numFmtId="2" fontId="0" fillId="11" borderId="2" xfId="0" applyNumberFormat="1" applyFill="1" applyBorder="1"/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Gibus_dati\09_Uff_Acquisti\102_Paolo_Brunazzetto\desktop%20e%20cartella%20documenti%2011%2011%202025\desktop\NUOVI%20PRODOTTI%20-%20TENSE%20-%20nuova%20zerogradi\kit.xlsx" TargetMode="External"/><Relationship Id="rId1" Type="http://schemas.openxmlformats.org/officeDocument/2006/relationships/externalLinkPath" Target="file:///G:\Gibus_dati\09_Uff_Acquisti\102_Paolo_Brunazzetto\desktop%20e%20cartella%20documenti%2011%2011%202025\desktop\NUOVI%20PRODOTTI%20-%20TENSE%20-%20nuova%20zerogradi\k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 tab Anagrafica"/>
      <sheetName val="KIT"/>
      <sheetName val="Foglio di lavoro kit"/>
      <sheetName val="offerte non chieste"/>
      <sheetName val="prezzi viti già in uso"/>
      <sheetName val="richieste offerte kit+sacc"/>
      <sheetName val="ORDINI"/>
      <sheetName val="codici mancanti in anagrafica"/>
      <sheetName val="Foglio1"/>
      <sheetName val="mag articoli già presenti"/>
      <sheetName val="tab anagrafica"/>
      <sheetName val="cod fo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276D-5E56-40AB-BFDA-B61424EF595A}">
  <sheetPr>
    <tabColor rgb="FFFFFF00"/>
    <pageSetUpPr fitToPage="1"/>
  </sheetPr>
  <dimension ref="A1:BI158"/>
  <sheetViews>
    <sheetView topLeftCell="A2" zoomScale="110" zoomScaleNormal="110" workbookViewId="0">
      <pane ySplit="1" topLeftCell="A3" activePane="bottomLeft" state="frozen"/>
      <selection activeCell="A2" sqref="A2"/>
      <selection pane="bottomLeft" activeCell="A2" sqref="A1:XFD1048576"/>
    </sheetView>
  </sheetViews>
  <sheetFormatPr defaultRowHeight="15" x14ac:dyDescent="0.25"/>
  <cols>
    <col min="1" max="1" width="12.140625" bestFit="1" customWidth="1"/>
    <col min="2" max="2" width="8.85546875" customWidth="1"/>
    <col min="3" max="3" width="12.140625" customWidth="1"/>
    <col min="4" max="4" width="48.42578125" customWidth="1"/>
    <col min="5" max="5" width="16.140625" customWidth="1"/>
    <col min="6" max="6" width="14.28515625" customWidth="1"/>
    <col min="7" max="7" width="9.140625" customWidth="1"/>
    <col min="8" max="8" width="9.5703125" customWidth="1"/>
    <col min="9" max="9" width="11" customWidth="1"/>
    <col min="10" max="12" width="7.85546875" customWidth="1"/>
    <col min="13" max="13" width="7.85546875" style="54" customWidth="1"/>
    <col min="14" max="14" width="35.7109375" style="54" bestFit="1" customWidth="1"/>
    <col min="15" max="15" width="9.7109375" style="54" customWidth="1"/>
    <col min="16" max="19" width="7.85546875" style="54" customWidth="1"/>
    <col min="20" max="22" width="7.85546875" customWidth="1"/>
    <col min="23" max="23" width="10.7109375" customWidth="1"/>
    <col min="24" max="24" width="25.5703125" customWidth="1"/>
    <col min="25" max="25" width="12.5703125" customWidth="1"/>
    <col min="26" max="26" width="14.7109375" customWidth="1"/>
    <col min="27" max="27" width="10.7109375" customWidth="1"/>
    <col min="28" max="30" width="5.85546875" customWidth="1"/>
    <col min="31" max="44" width="9.140625" customWidth="1"/>
  </cols>
  <sheetData>
    <row r="1" spans="1:31" hidden="1" x14ac:dyDescent="0.25">
      <c r="D1" t="s">
        <v>356</v>
      </c>
      <c r="M1"/>
      <c r="N1"/>
      <c r="O1"/>
      <c r="P1"/>
      <c r="Q1"/>
      <c r="R1"/>
      <c r="S1"/>
    </row>
    <row r="2" spans="1:31" ht="51" customHeight="1" x14ac:dyDescent="0.25">
      <c r="A2" s="53" t="s">
        <v>0</v>
      </c>
      <c r="B2" s="1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56" t="s">
        <v>358</v>
      </c>
      <c r="N2" s="56" t="s">
        <v>361</v>
      </c>
      <c r="O2" s="56" t="s">
        <v>558</v>
      </c>
      <c r="P2" s="71"/>
      <c r="Q2" s="71" t="s">
        <v>556</v>
      </c>
      <c r="R2" s="71" t="s">
        <v>555</v>
      </c>
      <c r="S2" s="71" t="s">
        <v>557</v>
      </c>
      <c r="T2" s="4" t="s">
        <v>359</v>
      </c>
      <c r="U2" s="4" t="s">
        <v>360</v>
      </c>
      <c r="V2" s="4" t="s">
        <v>12</v>
      </c>
      <c r="W2" s="5" t="s">
        <v>13</v>
      </c>
      <c r="X2" s="6" t="s">
        <v>14</v>
      </c>
      <c r="Z2" s="7" t="s">
        <v>15</v>
      </c>
      <c r="AB2" s="8" t="s">
        <v>16</v>
      </c>
      <c r="AE2" s="7" t="s">
        <v>357</v>
      </c>
    </row>
    <row r="3" spans="1:31" x14ac:dyDescent="0.25">
      <c r="A3" s="8" t="s">
        <v>17</v>
      </c>
      <c r="B3" s="9" t="s">
        <v>18</v>
      </c>
      <c r="C3" s="10" t="s">
        <v>19</v>
      </c>
      <c r="D3" s="10" t="str">
        <f>VLOOKUP(B3,[1]!Tabella1[[Codice]:[Descrizione]],2,FALSE)</f>
        <v>SUPPORTO CASSONETTO SUPERIORE  ZEROGRADI</v>
      </c>
      <c r="E3" s="11" t="s">
        <v>20</v>
      </c>
      <c r="F3" s="10" t="s">
        <v>21</v>
      </c>
      <c r="G3" s="2">
        <v>30</v>
      </c>
      <c r="H3" s="12">
        <v>120</v>
      </c>
      <c r="I3" s="2">
        <f>+G3*10</f>
        <v>300</v>
      </c>
      <c r="J3" s="10">
        <v>13</v>
      </c>
      <c r="K3" s="51">
        <v>5.22</v>
      </c>
      <c r="L3" s="10">
        <v>4.16</v>
      </c>
      <c r="M3" s="57">
        <f t="shared" ref="M3:M8" si="0">+K3</f>
        <v>5.22</v>
      </c>
      <c r="N3" s="57" t="s">
        <v>363</v>
      </c>
      <c r="O3" s="72">
        <f>+S3*4.5</f>
        <v>0.43740000000000001</v>
      </c>
      <c r="P3" s="54" t="str">
        <f>VLOOKUP(B3,Foglio1!AA:AD,4,FALSE)</f>
        <v>010608</v>
      </c>
      <c r="Q3" s="54">
        <f>VLOOKUP(B3,Foglio1!AA:AD,2,FALSE)</f>
        <v>60</v>
      </c>
      <c r="R3" s="54">
        <f>VLOOKUP(B3,Foglio1!AA:AE,5,FALSE)</f>
        <v>1.62</v>
      </c>
      <c r="S3" s="54">
        <f>+R3*Q3/1000</f>
        <v>9.7200000000000009E-2</v>
      </c>
      <c r="T3">
        <f>+M3*500</f>
        <v>2610</v>
      </c>
      <c r="U3">
        <f t="shared" ref="U3:U20" si="1">+L3*500</f>
        <v>2080</v>
      </c>
      <c r="V3">
        <f>92*13</f>
        <v>1196</v>
      </c>
      <c r="W3" s="10">
        <v>40</v>
      </c>
      <c r="X3" s="14" t="s">
        <v>22</v>
      </c>
      <c r="Y3" t="s">
        <v>23</v>
      </c>
      <c r="Z3">
        <v>100</v>
      </c>
      <c r="AB3">
        <f t="shared" ref="AB3:AB21" si="2">+J3*G3</f>
        <v>390</v>
      </c>
      <c r="AC3">
        <f t="shared" ref="AC3:AC21" si="3">+K3*H3</f>
        <v>626.4</v>
      </c>
      <c r="AD3">
        <f t="shared" ref="AD3:AD21" si="4">+L3*I3</f>
        <v>1248</v>
      </c>
      <c r="AE3">
        <f t="shared" ref="AE3:AE23" si="5">+I3*K3</f>
        <v>1566</v>
      </c>
    </row>
    <row r="4" spans="1:31" x14ac:dyDescent="0.25">
      <c r="A4" s="8" t="s">
        <v>17</v>
      </c>
      <c r="B4" s="9" t="s">
        <v>24</v>
      </c>
      <c r="C4" s="10" t="s">
        <v>25</v>
      </c>
      <c r="D4" s="10" t="str">
        <f>VLOOKUP(B4,[1]!Tabella1[[Codice]:[Descrizione]],2,FALSE)</f>
        <v>BLOCCA MOTORE SUPERIORE</v>
      </c>
      <c r="E4" s="11" t="s">
        <v>20</v>
      </c>
      <c r="F4" s="10" t="s">
        <v>21</v>
      </c>
      <c r="G4" s="2">
        <v>50</v>
      </c>
      <c r="H4" s="12">
        <v>200</v>
      </c>
      <c r="I4" s="2">
        <f t="shared" ref="I4:I21" si="6">+G4*10</f>
        <v>500</v>
      </c>
      <c r="J4" s="10">
        <v>12</v>
      </c>
      <c r="K4" s="51">
        <v>7.26</v>
      </c>
      <c r="L4" s="10">
        <v>6.62</v>
      </c>
      <c r="M4" s="57">
        <f t="shared" si="0"/>
        <v>7.26</v>
      </c>
      <c r="N4" s="57" t="s">
        <v>363</v>
      </c>
      <c r="O4" s="72" t="e">
        <f t="shared" ref="O4:O21" si="7">+S4*4.5</f>
        <v>#N/A</v>
      </c>
      <c r="P4" s="54" t="e">
        <f>VLOOKUP(B4,Foglio1!AA:AD,4,FALSE)</f>
        <v>#N/A</v>
      </c>
      <c r="Q4" s="54" t="e">
        <f>VLOOKUP(B4,Foglio1!AA:AD,2,FALSE)</f>
        <v>#N/A</v>
      </c>
      <c r="R4" s="54" t="e">
        <f>VLOOKUP(B4,Foglio1!AA:AE,5,FALSE)</f>
        <v>#N/A</v>
      </c>
      <c r="S4" s="54" t="e">
        <f t="shared" ref="S4:S21" si="8">+R4*Q4/1000</f>
        <v>#N/A</v>
      </c>
      <c r="T4">
        <f t="shared" ref="T4:T20" si="9">+M4*500</f>
        <v>3630</v>
      </c>
      <c r="U4">
        <f t="shared" si="1"/>
        <v>3310</v>
      </c>
      <c r="W4" s="10">
        <v>40</v>
      </c>
      <c r="X4" s="14" t="s">
        <v>22</v>
      </c>
      <c r="Z4">
        <v>40</v>
      </c>
      <c r="AB4">
        <f t="shared" si="2"/>
        <v>600</v>
      </c>
      <c r="AC4">
        <f t="shared" si="3"/>
        <v>1452</v>
      </c>
      <c r="AD4">
        <f t="shared" si="4"/>
        <v>3310</v>
      </c>
      <c r="AE4">
        <f t="shared" si="5"/>
        <v>3630</v>
      </c>
    </row>
    <row r="5" spans="1:31" x14ac:dyDescent="0.25">
      <c r="A5" s="8" t="s">
        <v>17</v>
      </c>
      <c r="B5" s="9" t="s">
        <v>26</v>
      </c>
      <c r="C5" s="10" t="s">
        <v>27</v>
      </c>
      <c r="D5" s="10" t="str">
        <f>VLOOKUP(B5,[1]!Tabella1[[Codice]:[Descrizione]],2,FALSE)</f>
        <v>PIASTRA ANCORAGGIO GUIDA MENSOLA ANGOLARE ZEROGRADI</v>
      </c>
      <c r="E5" s="11" t="s">
        <v>28</v>
      </c>
      <c r="F5" s="10" t="s">
        <v>29</v>
      </c>
      <c r="G5" s="12">
        <v>120</v>
      </c>
      <c r="H5" s="2">
        <v>480</v>
      </c>
      <c r="I5" s="2">
        <f t="shared" si="6"/>
        <v>1200</v>
      </c>
      <c r="J5" s="13">
        <v>4.08</v>
      </c>
      <c r="K5" s="51">
        <v>3.25</v>
      </c>
      <c r="L5" s="10">
        <v>2.93</v>
      </c>
      <c r="M5" s="57">
        <f t="shared" si="0"/>
        <v>3.25</v>
      </c>
      <c r="N5" s="57" t="s">
        <v>366</v>
      </c>
      <c r="O5" s="72" t="e">
        <f t="shared" si="7"/>
        <v>#N/A</v>
      </c>
      <c r="P5" s="54" t="e">
        <f>VLOOKUP(B5,Foglio1!AA:AD,4,FALSE)</f>
        <v>#N/A</v>
      </c>
      <c r="Q5" s="54" t="e">
        <f>VLOOKUP(B5,Foglio1!AA:AD,2,FALSE)</f>
        <v>#N/A</v>
      </c>
      <c r="R5" s="54" t="e">
        <f>VLOOKUP(B5,Foglio1!AA:AE,5,FALSE)</f>
        <v>#N/A</v>
      </c>
      <c r="S5" s="54" t="e">
        <f t="shared" si="8"/>
        <v>#N/A</v>
      </c>
      <c r="T5">
        <f t="shared" si="9"/>
        <v>1625</v>
      </c>
      <c r="U5">
        <f t="shared" si="1"/>
        <v>1465</v>
      </c>
      <c r="W5" s="10">
        <v>40</v>
      </c>
      <c r="X5" s="14" t="s">
        <v>30</v>
      </c>
      <c r="Z5">
        <v>40</v>
      </c>
      <c r="AB5">
        <f t="shared" si="2"/>
        <v>489.6</v>
      </c>
      <c r="AC5">
        <f t="shared" si="3"/>
        <v>1560</v>
      </c>
      <c r="AD5">
        <f t="shared" si="4"/>
        <v>3516</v>
      </c>
      <c r="AE5">
        <f t="shared" si="5"/>
        <v>3900</v>
      </c>
    </row>
    <row r="6" spans="1:31" x14ac:dyDescent="0.25">
      <c r="A6" s="8" t="s">
        <v>17</v>
      </c>
      <c r="B6" s="9" t="s">
        <v>31</v>
      </c>
      <c r="C6" s="10" t="s">
        <v>32</v>
      </c>
      <c r="D6" s="10" t="str">
        <f>VLOOKUP(B6,[1]!Tabella1[[Codice]:[Descrizione]],2,FALSE)</f>
        <v>SNODO GAMBA-GUIDA LATO GAMBA ZEROGRADI</v>
      </c>
      <c r="E6" s="11" t="s">
        <v>28</v>
      </c>
      <c r="F6" s="10" t="s">
        <v>29</v>
      </c>
      <c r="G6" s="2">
        <v>20</v>
      </c>
      <c r="H6" s="12">
        <v>80</v>
      </c>
      <c r="I6" s="2">
        <f t="shared" si="6"/>
        <v>200</v>
      </c>
      <c r="J6" s="10">
        <v>55</v>
      </c>
      <c r="K6" s="51">
        <v>40</v>
      </c>
      <c r="L6" s="10">
        <v>30</v>
      </c>
      <c r="M6" s="57">
        <f t="shared" si="0"/>
        <v>40</v>
      </c>
      <c r="N6" s="57">
        <v>0.26</v>
      </c>
      <c r="O6" s="72" t="e">
        <f t="shared" si="7"/>
        <v>#N/A</v>
      </c>
      <c r="P6" s="54" t="e">
        <f>VLOOKUP(B6,Foglio1!AA:AD,4,FALSE)</f>
        <v>#N/A</v>
      </c>
      <c r="Q6" s="54" t="e">
        <f>VLOOKUP(B6,Foglio1!AA:AD,2,FALSE)</f>
        <v>#N/A</v>
      </c>
      <c r="R6" s="54" t="e">
        <f>VLOOKUP(B6,Foglio1!AA:AE,5,FALSE)</f>
        <v>#N/A</v>
      </c>
      <c r="S6" s="54" t="e">
        <f t="shared" si="8"/>
        <v>#N/A</v>
      </c>
      <c r="T6">
        <f t="shared" si="9"/>
        <v>20000</v>
      </c>
      <c r="U6">
        <f t="shared" si="1"/>
        <v>15000</v>
      </c>
      <c r="W6" s="10">
        <v>40</v>
      </c>
      <c r="X6" s="14" t="s">
        <v>30</v>
      </c>
      <c r="Z6">
        <v>40</v>
      </c>
      <c r="AB6">
        <f t="shared" si="2"/>
        <v>1100</v>
      </c>
      <c r="AC6">
        <f t="shared" si="3"/>
        <v>3200</v>
      </c>
      <c r="AD6">
        <f t="shared" si="4"/>
        <v>6000</v>
      </c>
      <c r="AE6">
        <f t="shared" si="5"/>
        <v>8000</v>
      </c>
    </row>
    <row r="7" spans="1:31" x14ac:dyDescent="0.25">
      <c r="A7" s="8" t="s">
        <v>17</v>
      </c>
      <c r="B7" s="9" t="s">
        <v>33</v>
      </c>
      <c r="C7" s="10" t="s">
        <v>34</v>
      </c>
      <c r="D7" s="10" t="str">
        <f>VLOOKUP(B7,[1]!Tabella1[[Codice]:[Descrizione]],2,FALSE)</f>
        <v>SNODO GAMBA-GUIDA LATO GUIDA ZEROGRADI</v>
      </c>
      <c r="E7" s="11" t="s">
        <v>28</v>
      </c>
      <c r="F7" s="10" t="s">
        <v>29</v>
      </c>
      <c r="G7" s="2">
        <v>20</v>
      </c>
      <c r="H7" s="12">
        <v>80</v>
      </c>
      <c r="I7" s="2">
        <f t="shared" si="6"/>
        <v>200</v>
      </c>
      <c r="J7" s="10">
        <v>35</v>
      </c>
      <c r="K7" s="51">
        <v>12.14</v>
      </c>
      <c r="L7" s="10">
        <v>10.26</v>
      </c>
      <c r="M7" s="57">
        <f t="shared" si="0"/>
        <v>12.14</v>
      </c>
      <c r="N7" s="57">
        <v>0.25</v>
      </c>
      <c r="O7" s="72" t="e">
        <f t="shared" si="7"/>
        <v>#N/A</v>
      </c>
      <c r="P7" s="54" t="e">
        <f>VLOOKUP(B7,Foglio1!AA:AD,4,FALSE)</f>
        <v>#N/A</v>
      </c>
      <c r="Q7" s="54" t="e">
        <f>VLOOKUP(B7,Foglio1!AA:AD,2,FALSE)</f>
        <v>#N/A</v>
      </c>
      <c r="R7" s="54" t="e">
        <f>VLOOKUP(B7,Foglio1!AA:AE,5,FALSE)</f>
        <v>#N/A</v>
      </c>
      <c r="S7" s="54" t="e">
        <f t="shared" si="8"/>
        <v>#N/A</v>
      </c>
      <c r="T7">
        <f t="shared" si="9"/>
        <v>6070</v>
      </c>
      <c r="U7">
        <f t="shared" si="1"/>
        <v>5130</v>
      </c>
      <c r="W7" s="10">
        <v>40</v>
      </c>
      <c r="X7" s="14" t="s">
        <v>30</v>
      </c>
      <c r="Z7">
        <v>40</v>
      </c>
      <c r="AB7">
        <f t="shared" si="2"/>
        <v>700</v>
      </c>
      <c r="AC7">
        <f t="shared" si="3"/>
        <v>971.2</v>
      </c>
      <c r="AD7">
        <f t="shared" si="4"/>
        <v>2052</v>
      </c>
      <c r="AE7">
        <f t="shared" si="5"/>
        <v>2428</v>
      </c>
    </row>
    <row r="8" spans="1:31" x14ac:dyDescent="0.25">
      <c r="A8" s="8" t="s">
        <v>17</v>
      </c>
      <c r="B8" s="9" t="s">
        <v>35</v>
      </c>
      <c r="C8" s="10" t="s">
        <v>36</v>
      </c>
      <c r="D8" s="10" t="str">
        <f>VLOOKUP(B8,[1]!Tabella1[[Codice]:[Descrizione]],2,FALSE)</f>
        <v>STAFFETTA SUPPORTO TENSIONATORE ZEROGRADI</v>
      </c>
      <c r="E8" s="11" t="s">
        <v>20</v>
      </c>
      <c r="F8" s="10" t="s">
        <v>21</v>
      </c>
      <c r="G8" s="2">
        <v>75</v>
      </c>
      <c r="H8" s="12">
        <v>300</v>
      </c>
      <c r="I8" s="2">
        <f t="shared" si="6"/>
        <v>750</v>
      </c>
      <c r="J8" s="10">
        <v>10</v>
      </c>
      <c r="K8" s="51">
        <v>7.22</v>
      </c>
      <c r="L8" s="10">
        <v>6.57</v>
      </c>
      <c r="M8" s="57">
        <f t="shared" si="0"/>
        <v>7.22</v>
      </c>
      <c r="N8" s="57" t="s">
        <v>363</v>
      </c>
      <c r="O8" s="72" t="e">
        <f t="shared" si="7"/>
        <v>#N/A</v>
      </c>
      <c r="P8" s="54" t="e">
        <f>VLOOKUP(B8,Foglio1!AA:AD,4,FALSE)</f>
        <v>#N/A</v>
      </c>
      <c r="Q8" s="54" t="e">
        <f>VLOOKUP(B8,Foglio1!AA:AD,2,FALSE)</f>
        <v>#N/A</v>
      </c>
      <c r="R8" s="54" t="e">
        <f>VLOOKUP(B8,Foglio1!AA:AE,5,FALSE)</f>
        <v>#N/A</v>
      </c>
      <c r="S8" s="54" t="e">
        <f t="shared" si="8"/>
        <v>#N/A</v>
      </c>
      <c r="T8">
        <f t="shared" si="9"/>
        <v>3610</v>
      </c>
      <c r="U8">
        <f t="shared" si="1"/>
        <v>3285</v>
      </c>
      <c r="W8" s="10">
        <v>40</v>
      </c>
      <c r="X8" s="14" t="s">
        <v>22</v>
      </c>
      <c r="Z8">
        <v>40</v>
      </c>
      <c r="AB8">
        <f t="shared" si="2"/>
        <v>750</v>
      </c>
      <c r="AC8">
        <f t="shared" si="3"/>
        <v>2166</v>
      </c>
      <c r="AD8">
        <f t="shared" si="4"/>
        <v>4927.5</v>
      </c>
      <c r="AE8">
        <f t="shared" si="5"/>
        <v>5415</v>
      </c>
    </row>
    <row r="9" spans="1:31" x14ac:dyDescent="0.25">
      <c r="A9" s="8" t="s">
        <v>17</v>
      </c>
      <c r="B9" s="15" t="s">
        <v>37</v>
      </c>
      <c r="C9" s="10" t="s">
        <v>38</v>
      </c>
      <c r="D9" s="10" t="str">
        <f>VLOOKUP(B9,[1]!Tabella1[[Codice]:[Descrizione]],2,FALSE)</f>
        <v>AGGANCIO CASSONETTO PARETE ROTABILE LAVORATO ZEROGRADI</v>
      </c>
      <c r="E9" s="11" t="s">
        <v>20</v>
      </c>
      <c r="F9" s="10" t="s">
        <v>29</v>
      </c>
      <c r="G9" s="16">
        <v>16</v>
      </c>
      <c r="H9" s="17">
        <v>64</v>
      </c>
      <c r="I9" s="2">
        <f t="shared" si="6"/>
        <v>160</v>
      </c>
      <c r="J9" s="10">
        <v>17</v>
      </c>
      <c r="K9" s="13">
        <v>7.73</v>
      </c>
      <c r="L9" s="51">
        <v>5.15</v>
      </c>
      <c r="M9" s="57">
        <f>+L9</f>
        <v>5.15</v>
      </c>
      <c r="N9" s="57" t="s">
        <v>363</v>
      </c>
      <c r="O9" s="72">
        <f t="shared" si="7"/>
        <v>0.463725</v>
      </c>
      <c r="P9" s="54" t="str">
        <f>VLOOKUP(B9,Foglio1!AA:AD,4,FALSE)</f>
        <v>010629</v>
      </c>
      <c r="Q9" s="54">
        <f>VLOOKUP(B9,Foglio1!AA:AD,2,FALSE)</f>
        <v>90</v>
      </c>
      <c r="R9" s="54">
        <f>VLOOKUP(B9,Foglio1!AA:AE,5,FALSE)</f>
        <v>1.145</v>
      </c>
      <c r="S9" s="54">
        <f t="shared" si="8"/>
        <v>0.10305</v>
      </c>
      <c r="T9">
        <f t="shared" si="9"/>
        <v>2575</v>
      </c>
      <c r="U9">
        <f t="shared" si="1"/>
        <v>2575</v>
      </c>
      <c r="V9" s="18">
        <f>63*5</f>
        <v>315</v>
      </c>
      <c r="W9" s="10">
        <v>40</v>
      </c>
      <c r="X9" s="14" t="s">
        <v>22</v>
      </c>
      <c r="Y9" t="s">
        <v>23</v>
      </c>
      <c r="Z9">
        <v>100</v>
      </c>
      <c r="AB9">
        <f t="shared" si="2"/>
        <v>272</v>
      </c>
      <c r="AC9">
        <f t="shared" si="3"/>
        <v>494.72</v>
      </c>
      <c r="AD9">
        <f t="shared" si="4"/>
        <v>824</v>
      </c>
      <c r="AE9">
        <f t="shared" si="5"/>
        <v>1236.8000000000002</v>
      </c>
    </row>
    <row r="10" spans="1:31" x14ac:dyDescent="0.25">
      <c r="A10" s="8" t="s">
        <v>17</v>
      </c>
      <c r="B10" s="15" t="s">
        <v>39</v>
      </c>
      <c r="C10" s="10" t="s">
        <v>40</v>
      </c>
      <c r="D10" s="10" t="str">
        <f>VLOOKUP(B10,[1]!Tabella1[[Codice]:[Descrizione]],2,FALSE)</f>
        <v>ANCORAGGIO GUIDA  ZEROGRADI</v>
      </c>
      <c r="E10" s="11" t="s">
        <v>28</v>
      </c>
      <c r="F10" s="10" t="s">
        <v>29</v>
      </c>
      <c r="G10" s="17">
        <v>305</v>
      </c>
      <c r="H10" s="16">
        <v>1220</v>
      </c>
      <c r="I10" s="2">
        <f t="shared" si="6"/>
        <v>3050</v>
      </c>
      <c r="J10" s="13">
        <v>3.64</v>
      </c>
      <c r="K10" s="51">
        <v>3.36</v>
      </c>
      <c r="L10" s="10">
        <v>3.24</v>
      </c>
      <c r="M10" s="57">
        <f>+K10</f>
        <v>3.36</v>
      </c>
      <c r="N10" s="57">
        <v>0.17</v>
      </c>
      <c r="O10" s="72">
        <f t="shared" si="7"/>
        <v>0.18225</v>
      </c>
      <c r="P10" s="54" t="str">
        <f>VLOOKUP(B10,Foglio1!AA:AD,4,FALSE)</f>
        <v>010617</v>
      </c>
      <c r="Q10" s="54">
        <f>VLOOKUP(B10,Foglio1!AA:AD,2,FALSE)</f>
        <v>45</v>
      </c>
      <c r="R10" s="54">
        <f>VLOOKUP(B10,Foglio1!AA:AE,5,FALSE)</f>
        <v>0.9</v>
      </c>
      <c r="S10" s="54">
        <f t="shared" si="8"/>
        <v>4.0500000000000001E-2</v>
      </c>
      <c r="T10">
        <f t="shared" si="9"/>
        <v>1680</v>
      </c>
      <c r="U10">
        <f t="shared" si="1"/>
        <v>1620</v>
      </c>
      <c r="V10">
        <f>12*120</f>
        <v>1440</v>
      </c>
      <c r="W10" s="10">
        <v>40</v>
      </c>
      <c r="X10" s="14" t="s">
        <v>30</v>
      </c>
      <c r="Y10" s="19" t="s">
        <v>41</v>
      </c>
      <c r="Z10">
        <v>100</v>
      </c>
      <c r="AA10" t="s">
        <v>42</v>
      </c>
      <c r="AB10">
        <f t="shared" si="2"/>
        <v>1110.2</v>
      </c>
      <c r="AC10">
        <f t="shared" si="3"/>
        <v>4099.2</v>
      </c>
      <c r="AD10">
        <f t="shared" si="4"/>
        <v>9882</v>
      </c>
      <c r="AE10">
        <f t="shared" si="5"/>
        <v>10248</v>
      </c>
    </row>
    <row r="11" spans="1:31" x14ac:dyDescent="0.25">
      <c r="A11" s="8" t="s">
        <v>17</v>
      </c>
      <c r="B11" s="15" t="s">
        <v>43</v>
      </c>
      <c r="C11" s="10" t="s">
        <v>44</v>
      </c>
      <c r="D11" s="10" t="str">
        <f>VLOOKUP(B11,[1]!Tabella1[[Codice]:[Descrizione]],2,FALSE)</f>
        <v>ANTI SOLLEVAMENTO SUPPORTO PARETE ROTABILE LAVORATO ZEROGRADI</v>
      </c>
      <c r="E11" s="11" t="s">
        <v>20</v>
      </c>
      <c r="F11" s="10" t="s">
        <v>29</v>
      </c>
      <c r="G11" s="16">
        <v>16</v>
      </c>
      <c r="H11" s="17">
        <v>64</v>
      </c>
      <c r="I11" s="2">
        <f t="shared" si="6"/>
        <v>160</v>
      </c>
      <c r="J11" s="10">
        <v>17</v>
      </c>
      <c r="K11" s="13">
        <v>5.34</v>
      </c>
      <c r="L11" s="51">
        <v>3.4</v>
      </c>
      <c r="M11" s="57">
        <f t="shared" ref="M11:M16" si="10">+L11</f>
        <v>3.4</v>
      </c>
      <c r="N11" s="57" t="s">
        <v>363</v>
      </c>
      <c r="O11" s="72">
        <f t="shared" si="7"/>
        <v>0.22639500000000001</v>
      </c>
      <c r="P11" s="54" t="str">
        <f>VLOOKUP(B11,Foglio1!AA:AD,4,FALSE)</f>
        <v>010637</v>
      </c>
      <c r="Q11" s="54">
        <f>VLOOKUP(B11,Foglio1!AA:AD,2,FALSE)</f>
        <v>90</v>
      </c>
      <c r="R11" s="54">
        <f>VLOOKUP(B11,Foglio1!AA:AE,5,FALSE)</f>
        <v>0.55900000000000005</v>
      </c>
      <c r="S11" s="54">
        <f t="shared" si="8"/>
        <v>5.0310000000000001E-2</v>
      </c>
      <c r="T11">
        <f t="shared" si="9"/>
        <v>1700</v>
      </c>
      <c r="U11">
        <f t="shared" si="1"/>
        <v>1700</v>
      </c>
      <c r="V11">
        <f>63*11</f>
        <v>693</v>
      </c>
      <c r="W11" s="10">
        <v>40</v>
      </c>
      <c r="X11" s="14" t="s">
        <v>22</v>
      </c>
      <c r="Y11" t="s">
        <v>23</v>
      </c>
      <c r="Z11">
        <v>100</v>
      </c>
      <c r="AB11">
        <f t="shared" si="2"/>
        <v>272</v>
      </c>
      <c r="AC11">
        <f t="shared" si="3"/>
        <v>341.76</v>
      </c>
      <c r="AD11">
        <f t="shared" si="4"/>
        <v>544</v>
      </c>
      <c r="AE11">
        <f t="shared" si="5"/>
        <v>854.4</v>
      </c>
    </row>
    <row r="12" spans="1:31" x14ac:dyDescent="0.25">
      <c r="A12" s="8" t="s">
        <v>17</v>
      </c>
      <c r="B12" s="15" t="s">
        <v>45</v>
      </c>
      <c r="C12" s="10" t="s">
        <v>46</v>
      </c>
      <c r="D12" s="10" t="str">
        <f>VLOOKUP(B12,[1]!Tabella1[[Codice]:[Descrizione]],2,FALSE)</f>
        <v>SUPPORTINO TETTUCCIO LAVORATO ZEROGRADI</v>
      </c>
      <c r="E12" s="11" t="s">
        <v>20</v>
      </c>
      <c r="F12" s="10" t="s">
        <v>29</v>
      </c>
      <c r="G12" s="16">
        <v>15</v>
      </c>
      <c r="H12" s="17">
        <v>60</v>
      </c>
      <c r="I12" s="2">
        <f t="shared" si="6"/>
        <v>150</v>
      </c>
      <c r="J12" s="10">
        <v>17</v>
      </c>
      <c r="K12" s="13">
        <v>5.52</v>
      </c>
      <c r="L12" s="51">
        <v>3.7</v>
      </c>
      <c r="M12" s="57">
        <f t="shared" si="10"/>
        <v>3.7</v>
      </c>
      <c r="N12" s="57" t="s">
        <v>363</v>
      </c>
      <c r="O12" s="72">
        <f t="shared" si="7"/>
        <v>0.128304</v>
      </c>
      <c r="P12" s="54" t="str">
        <f>VLOOKUP(B12,Foglio1!AA:AD,4,FALSE)</f>
        <v>010619</v>
      </c>
      <c r="Q12" s="54">
        <f>VLOOKUP(B12,Foglio1!AA:AD,2,FALSE)</f>
        <v>32</v>
      </c>
      <c r="R12" s="54">
        <f>VLOOKUP(B12,Foglio1!AA:AE,5,FALSE)</f>
        <v>0.89100000000000001</v>
      </c>
      <c r="S12" s="54">
        <f t="shared" si="8"/>
        <v>2.8511999999999999E-2</v>
      </c>
      <c r="T12">
        <f t="shared" si="9"/>
        <v>1850</v>
      </c>
      <c r="U12">
        <f t="shared" si="1"/>
        <v>1850</v>
      </c>
      <c r="V12">
        <f>162*5</f>
        <v>810</v>
      </c>
      <c r="W12" s="10">
        <v>40</v>
      </c>
      <c r="X12" s="14" t="s">
        <v>22</v>
      </c>
      <c r="Y12" t="s">
        <v>23</v>
      </c>
      <c r="Z12">
        <v>100</v>
      </c>
      <c r="AB12">
        <f t="shared" si="2"/>
        <v>255</v>
      </c>
      <c r="AC12">
        <f t="shared" si="3"/>
        <v>331.2</v>
      </c>
      <c r="AD12">
        <f t="shared" si="4"/>
        <v>555</v>
      </c>
      <c r="AE12">
        <f t="shared" si="5"/>
        <v>827.99999999999989</v>
      </c>
    </row>
    <row r="13" spans="1:31" x14ac:dyDescent="0.25">
      <c r="A13" s="8" t="s">
        <v>17</v>
      </c>
      <c r="B13" s="15" t="s">
        <v>47</v>
      </c>
      <c r="C13" s="10" t="s">
        <v>48</v>
      </c>
      <c r="D13" s="10" t="str">
        <f>VLOOKUP(B13,[1]!Tabella1[[Codice]:[Descrizione]],2,FALSE)</f>
        <v>SUPPORTO PARETE ANCORABILE ROTABILE LAVORATO ZEROGRADI</v>
      </c>
      <c r="E13" s="11" t="s">
        <v>20</v>
      </c>
      <c r="F13" s="10" t="s">
        <v>29</v>
      </c>
      <c r="G13" s="16">
        <v>16</v>
      </c>
      <c r="H13" s="17">
        <v>64</v>
      </c>
      <c r="I13" s="2">
        <f t="shared" si="6"/>
        <v>160</v>
      </c>
      <c r="J13" s="10">
        <v>25</v>
      </c>
      <c r="K13" s="13">
        <v>12.1</v>
      </c>
      <c r="L13" s="51">
        <v>9.75</v>
      </c>
      <c r="M13" s="57">
        <f t="shared" si="10"/>
        <v>9.75</v>
      </c>
      <c r="N13" s="57" t="s">
        <v>363</v>
      </c>
      <c r="O13" s="72">
        <f t="shared" si="7"/>
        <v>4.3237800000000002</v>
      </c>
      <c r="P13" s="54" t="str">
        <f>VLOOKUP(B13,Foglio1!AA:AD,4,FALSE)</f>
        <v>010639</v>
      </c>
      <c r="Q13" s="54">
        <f>VLOOKUP(B13,Foglio1!AA:AD,2,FALSE)</f>
        <v>180</v>
      </c>
      <c r="R13" s="54">
        <f>VLOOKUP(B13,Foglio1!AA:AE,5,FALSE)</f>
        <v>5.3380000000000001</v>
      </c>
      <c r="S13" s="54">
        <f t="shared" si="8"/>
        <v>0.96084000000000003</v>
      </c>
      <c r="T13">
        <f t="shared" si="9"/>
        <v>4875</v>
      </c>
      <c r="U13">
        <f t="shared" si="1"/>
        <v>4875</v>
      </c>
      <c r="V13">
        <f>32*7</f>
        <v>224</v>
      </c>
      <c r="W13" s="10">
        <v>40</v>
      </c>
      <c r="X13" s="14" t="s">
        <v>22</v>
      </c>
      <c r="Y13" s="19" t="s">
        <v>41</v>
      </c>
      <c r="Z13">
        <v>100</v>
      </c>
      <c r="AB13">
        <f t="shared" si="2"/>
        <v>400</v>
      </c>
      <c r="AC13">
        <f t="shared" si="3"/>
        <v>774.4</v>
      </c>
      <c r="AD13">
        <f t="shared" si="4"/>
        <v>1560</v>
      </c>
      <c r="AE13">
        <f t="shared" si="5"/>
        <v>1936</v>
      </c>
    </row>
    <row r="14" spans="1:31" x14ac:dyDescent="0.25">
      <c r="A14" s="8" t="s">
        <v>17</v>
      </c>
      <c r="B14" s="15" t="s">
        <v>49</v>
      </c>
      <c r="C14" s="10" t="s">
        <v>50</v>
      </c>
      <c r="D14" s="10" t="str">
        <f>VLOOKUP(B14,[1]!Tabella1[[Codice]:[Descrizione]],2,FALSE)</f>
        <v>ANCORAMENTO TETTUCCIO SUPPORTO PARETE ZEROGRADI</v>
      </c>
      <c r="E14" s="11" t="s">
        <v>20</v>
      </c>
      <c r="F14" s="10" t="s">
        <v>29</v>
      </c>
      <c r="G14" s="16">
        <v>10</v>
      </c>
      <c r="H14" s="17">
        <v>40</v>
      </c>
      <c r="I14" s="2">
        <f t="shared" si="6"/>
        <v>100</v>
      </c>
      <c r="J14" s="10">
        <v>27</v>
      </c>
      <c r="K14" s="13">
        <v>12.1</v>
      </c>
      <c r="L14" s="51">
        <v>8.6999999999999993</v>
      </c>
      <c r="M14" s="57">
        <f t="shared" si="10"/>
        <v>8.6999999999999993</v>
      </c>
      <c r="N14" s="57">
        <v>0.25</v>
      </c>
      <c r="O14" s="72" t="e">
        <f t="shared" si="7"/>
        <v>#N/A</v>
      </c>
      <c r="P14" s="54" t="e">
        <f>VLOOKUP(B14,Foglio1!AA:AD,4,FALSE)</f>
        <v>#N/A</v>
      </c>
      <c r="Q14" s="54" t="e">
        <f>VLOOKUP(B14,Foglio1!AA:AD,2,FALSE)</f>
        <v>#N/A</v>
      </c>
      <c r="R14" s="54" t="e">
        <f>VLOOKUP(B14,Foglio1!AA:AE,5,FALSE)</f>
        <v>#N/A</v>
      </c>
      <c r="S14" s="54" t="e">
        <f t="shared" si="8"/>
        <v>#N/A</v>
      </c>
      <c r="T14">
        <f t="shared" si="9"/>
        <v>4350</v>
      </c>
      <c r="U14">
        <f t="shared" si="1"/>
        <v>4350</v>
      </c>
      <c r="W14" s="10">
        <v>40</v>
      </c>
      <c r="X14" t="s">
        <v>22</v>
      </c>
      <c r="Z14">
        <v>40</v>
      </c>
      <c r="AB14">
        <f t="shared" si="2"/>
        <v>270</v>
      </c>
      <c r="AC14">
        <f t="shared" si="3"/>
        <v>484</v>
      </c>
      <c r="AD14">
        <f t="shared" si="4"/>
        <v>869.99999999999989</v>
      </c>
      <c r="AE14">
        <f t="shared" si="5"/>
        <v>1210</v>
      </c>
    </row>
    <row r="15" spans="1:31" x14ac:dyDescent="0.25">
      <c r="A15" s="8" t="s">
        <v>17</v>
      </c>
      <c r="B15" s="15" t="s">
        <v>51</v>
      </c>
      <c r="C15" s="10" t="s">
        <v>52</v>
      </c>
      <c r="D15" s="10" t="str">
        <f>VLOOKUP(B15,[1]!Tabella1[[Codice]:[Descrizione]],2,FALSE)</f>
        <v>BASAMENTO RINVIO ANGOLARE  GAMBA TELESCOPICA ZEROGRADI</v>
      </c>
      <c r="E15" s="11" t="s">
        <v>28</v>
      </c>
      <c r="F15" s="10" t="s">
        <v>29</v>
      </c>
      <c r="G15" s="17">
        <v>3</v>
      </c>
      <c r="H15" s="16">
        <v>12</v>
      </c>
      <c r="I15" s="2">
        <f t="shared" si="6"/>
        <v>30</v>
      </c>
      <c r="J15" s="13">
        <v>50</v>
      </c>
      <c r="K15" s="10">
        <v>25</v>
      </c>
      <c r="L15" s="51">
        <v>18</v>
      </c>
      <c r="M15" s="57">
        <f t="shared" si="10"/>
        <v>18</v>
      </c>
      <c r="N15" s="57" t="s">
        <v>362</v>
      </c>
      <c r="O15" s="72" t="e">
        <f t="shared" si="7"/>
        <v>#N/A</v>
      </c>
      <c r="P15" s="54" t="e">
        <f>VLOOKUP(B15,Foglio1!AA:AD,4,FALSE)</f>
        <v>#N/A</v>
      </c>
      <c r="Q15" s="54" t="e">
        <f>VLOOKUP(B15,Foglio1!AA:AD,2,FALSE)</f>
        <v>#N/A</v>
      </c>
      <c r="R15" s="54" t="e">
        <f>VLOOKUP(B15,Foglio1!AA:AE,5,FALSE)</f>
        <v>#N/A</v>
      </c>
      <c r="S15" s="54" t="e">
        <f t="shared" si="8"/>
        <v>#N/A</v>
      </c>
      <c r="T15">
        <f t="shared" si="9"/>
        <v>9000</v>
      </c>
      <c r="U15">
        <f t="shared" si="1"/>
        <v>9000</v>
      </c>
      <c r="W15" s="10">
        <v>40</v>
      </c>
      <c r="X15" t="s">
        <v>53</v>
      </c>
      <c r="Z15">
        <v>40</v>
      </c>
      <c r="AB15">
        <f t="shared" si="2"/>
        <v>150</v>
      </c>
      <c r="AC15">
        <f t="shared" si="3"/>
        <v>300</v>
      </c>
      <c r="AD15">
        <f t="shared" si="4"/>
        <v>540</v>
      </c>
      <c r="AE15">
        <f t="shared" si="5"/>
        <v>750</v>
      </c>
    </row>
    <row r="16" spans="1:31" x14ac:dyDescent="0.25">
      <c r="A16" s="8" t="s">
        <v>17</v>
      </c>
      <c r="B16" s="15" t="s">
        <v>54</v>
      </c>
      <c r="C16" s="10" t="s">
        <v>55</v>
      </c>
      <c r="D16" s="10" t="str">
        <f>VLOOKUP(B16,[1]!Tabella1[[Codice]:[Descrizione]],2,FALSE)</f>
        <v>DISCO FINECORSA GAMBA TELESCOPICA ZEROGRADI</v>
      </c>
      <c r="E16" s="11" t="s">
        <v>28</v>
      </c>
      <c r="F16" s="10" t="s">
        <v>29</v>
      </c>
      <c r="G16" s="17">
        <v>3</v>
      </c>
      <c r="H16" s="16">
        <v>12</v>
      </c>
      <c r="I16" s="2">
        <f t="shared" si="6"/>
        <v>30</v>
      </c>
      <c r="J16" s="13">
        <v>35</v>
      </c>
      <c r="K16" s="10">
        <v>30</v>
      </c>
      <c r="L16" s="51">
        <v>20</v>
      </c>
      <c r="M16" s="57">
        <f t="shared" si="10"/>
        <v>20</v>
      </c>
      <c r="N16" s="57" t="s">
        <v>362</v>
      </c>
      <c r="O16" s="72" t="e">
        <f t="shared" si="7"/>
        <v>#N/A</v>
      </c>
      <c r="P16" s="54" t="e">
        <f>VLOOKUP(B16,Foglio1!AA:AD,4,FALSE)</f>
        <v>#N/A</v>
      </c>
      <c r="Q16" s="54" t="e">
        <f>VLOOKUP(B16,Foglio1!AA:AD,2,FALSE)</f>
        <v>#N/A</v>
      </c>
      <c r="R16" s="54" t="e">
        <f>VLOOKUP(B16,Foglio1!AA:AE,5,FALSE)</f>
        <v>#N/A</v>
      </c>
      <c r="S16" s="54" t="e">
        <f t="shared" si="8"/>
        <v>#N/A</v>
      </c>
      <c r="T16">
        <f t="shared" si="9"/>
        <v>10000</v>
      </c>
      <c r="U16">
        <f t="shared" si="1"/>
        <v>10000</v>
      </c>
      <c r="W16" s="10">
        <v>40</v>
      </c>
      <c r="X16" t="s">
        <v>53</v>
      </c>
      <c r="Z16">
        <v>40</v>
      </c>
      <c r="AB16">
        <f t="shared" si="2"/>
        <v>105</v>
      </c>
      <c r="AC16">
        <f t="shared" si="3"/>
        <v>360</v>
      </c>
      <c r="AD16">
        <f t="shared" si="4"/>
        <v>600</v>
      </c>
      <c r="AE16">
        <f t="shared" si="5"/>
        <v>900</v>
      </c>
    </row>
    <row r="17" spans="1:61" x14ac:dyDescent="0.25">
      <c r="A17" s="8" t="s">
        <v>17</v>
      </c>
      <c r="B17" s="15" t="s">
        <v>56</v>
      </c>
      <c r="C17" s="10" t="s">
        <v>57</v>
      </c>
      <c r="D17" s="10" t="str">
        <f>VLOOKUP(B17,[1]!Tabella1[[Codice]:[Descrizione]],2,FALSE)</f>
        <v>SUPPORTO FRANGITRATTA STATICO ZEROGRADI</v>
      </c>
      <c r="E17" s="11" t="s">
        <v>20</v>
      </c>
      <c r="F17" s="10" t="s">
        <v>29</v>
      </c>
      <c r="G17" s="17">
        <v>90</v>
      </c>
      <c r="H17" s="16">
        <v>360</v>
      </c>
      <c r="I17" s="2">
        <f t="shared" si="6"/>
        <v>900</v>
      </c>
      <c r="J17" s="13">
        <v>12</v>
      </c>
      <c r="K17" s="51">
        <v>9.32</v>
      </c>
      <c r="L17" s="10">
        <v>8.16</v>
      </c>
      <c r="M17" s="57">
        <f>+K17</f>
        <v>9.32</v>
      </c>
      <c r="N17" s="57" t="s">
        <v>364</v>
      </c>
      <c r="O17" s="72" t="e">
        <f t="shared" si="7"/>
        <v>#N/A</v>
      </c>
      <c r="P17" s="54" t="e">
        <f>VLOOKUP(B17,Foglio1!AA:AD,4,FALSE)</f>
        <v>#N/A</v>
      </c>
      <c r="Q17" s="54" t="e">
        <f>VLOOKUP(B17,Foglio1!AA:AD,2,FALSE)</f>
        <v>#N/A</v>
      </c>
      <c r="R17" s="54" t="e">
        <f>VLOOKUP(B17,Foglio1!AA:AE,5,FALSE)</f>
        <v>#N/A</v>
      </c>
      <c r="S17" s="54" t="e">
        <f t="shared" si="8"/>
        <v>#N/A</v>
      </c>
      <c r="T17">
        <f t="shared" si="9"/>
        <v>4660</v>
      </c>
      <c r="U17">
        <f t="shared" si="1"/>
        <v>4080</v>
      </c>
      <c r="W17" s="10">
        <v>40</v>
      </c>
      <c r="X17" t="s">
        <v>22</v>
      </c>
      <c r="Z17">
        <v>40</v>
      </c>
      <c r="AB17">
        <f t="shared" si="2"/>
        <v>1080</v>
      </c>
      <c r="AC17">
        <f t="shared" si="3"/>
        <v>3355.2000000000003</v>
      </c>
      <c r="AD17">
        <f t="shared" si="4"/>
        <v>7344</v>
      </c>
      <c r="AE17">
        <f t="shared" si="5"/>
        <v>8388</v>
      </c>
    </row>
    <row r="18" spans="1:61" x14ac:dyDescent="0.25">
      <c r="A18" s="8" t="s">
        <v>17</v>
      </c>
      <c r="B18" s="15" t="s">
        <v>58</v>
      </c>
      <c r="C18" s="10" t="s">
        <v>59</v>
      </c>
      <c r="D18" s="10" t="str">
        <f>VLOOKUP(B18,[1]!Tabella1[[Codice]:[Descrizione]],2,FALSE)</f>
        <v>TAPPO CASSONETTO VOLANT DX</v>
      </c>
      <c r="E18" s="11" t="s">
        <v>28</v>
      </c>
      <c r="F18" s="10" t="s">
        <v>29</v>
      </c>
      <c r="G18" s="17">
        <v>15</v>
      </c>
      <c r="H18" s="16">
        <v>60</v>
      </c>
      <c r="I18" s="2">
        <f t="shared" si="6"/>
        <v>150</v>
      </c>
      <c r="J18" s="13">
        <v>60</v>
      </c>
      <c r="K18" s="51">
        <v>40</v>
      </c>
      <c r="L18" s="10">
        <v>26</v>
      </c>
      <c r="M18" s="57">
        <f>+K18</f>
        <v>40</v>
      </c>
      <c r="N18" s="57" t="s">
        <v>365</v>
      </c>
      <c r="O18" s="72" t="e">
        <f t="shared" si="7"/>
        <v>#N/A</v>
      </c>
      <c r="P18" s="54" t="e">
        <f>VLOOKUP(B18,Foglio1!AA:AD,4,FALSE)</f>
        <v>#N/A</v>
      </c>
      <c r="Q18" s="54" t="e">
        <f>VLOOKUP(B18,Foglio1!AA:AD,2,FALSE)</f>
        <v>#N/A</v>
      </c>
      <c r="R18" s="54" t="e">
        <f>VLOOKUP(B18,Foglio1!AA:AE,5,FALSE)</f>
        <v>#N/A</v>
      </c>
      <c r="S18" s="54" t="e">
        <f t="shared" si="8"/>
        <v>#N/A</v>
      </c>
      <c r="T18">
        <f t="shared" si="9"/>
        <v>20000</v>
      </c>
      <c r="U18">
        <f t="shared" si="1"/>
        <v>13000</v>
      </c>
      <c r="W18" s="10">
        <v>40</v>
      </c>
      <c r="X18" t="s">
        <v>30</v>
      </c>
      <c r="Z18">
        <v>40</v>
      </c>
      <c r="AB18">
        <f t="shared" si="2"/>
        <v>900</v>
      </c>
      <c r="AC18">
        <f t="shared" si="3"/>
        <v>2400</v>
      </c>
      <c r="AD18">
        <f t="shared" si="4"/>
        <v>3900</v>
      </c>
      <c r="AE18">
        <f t="shared" si="5"/>
        <v>6000</v>
      </c>
    </row>
    <row r="19" spans="1:61" x14ac:dyDescent="0.25">
      <c r="A19" s="8" t="s">
        <v>17</v>
      </c>
      <c r="B19" s="15" t="s">
        <v>60</v>
      </c>
      <c r="C19" s="10" t="s">
        <v>61</v>
      </c>
      <c r="D19" s="10" t="str">
        <f>VLOOKUP(B19,[1]!Tabella1[[Codice]:[Descrizione]],2,FALSE)</f>
        <v>TAPPO CASSONETTO VOLANT SX</v>
      </c>
      <c r="E19" s="11" t="s">
        <v>28</v>
      </c>
      <c r="F19" s="10" t="s">
        <v>29</v>
      </c>
      <c r="G19" s="17">
        <v>15</v>
      </c>
      <c r="H19" s="16">
        <v>60</v>
      </c>
      <c r="I19" s="2">
        <f t="shared" si="6"/>
        <v>150</v>
      </c>
      <c r="J19" s="13">
        <v>60</v>
      </c>
      <c r="K19" s="51">
        <v>40</v>
      </c>
      <c r="L19" s="10">
        <v>26</v>
      </c>
      <c r="M19" s="57">
        <f>+K19</f>
        <v>40</v>
      </c>
      <c r="N19" s="57" t="s">
        <v>365</v>
      </c>
      <c r="O19" s="72" t="e">
        <f t="shared" si="7"/>
        <v>#N/A</v>
      </c>
      <c r="P19" s="54" t="e">
        <f>VLOOKUP(B19,Foglio1!AA:AD,4,FALSE)</f>
        <v>#N/A</v>
      </c>
      <c r="Q19" s="54" t="e">
        <f>VLOOKUP(B19,Foglio1!AA:AD,2,FALSE)</f>
        <v>#N/A</v>
      </c>
      <c r="R19" s="54" t="e">
        <f>VLOOKUP(B19,Foglio1!AA:AE,5,FALSE)</f>
        <v>#N/A</v>
      </c>
      <c r="S19" s="54" t="e">
        <f t="shared" si="8"/>
        <v>#N/A</v>
      </c>
      <c r="T19">
        <f t="shared" si="9"/>
        <v>20000</v>
      </c>
      <c r="U19">
        <f t="shared" si="1"/>
        <v>13000</v>
      </c>
      <c r="W19" s="10">
        <v>40</v>
      </c>
      <c r="X19" t="s">
        <v>30</v>
      </c>
      <c r="Z19">
        <v>40</v>
      </c>
      <c r="AB19">
        <f t="shared" si="2"/>
        <v>900</v>
      </c>
      <c r="AC19">
        <f t="shared" si="3"/>
        <v>2400</v>
      </c>
      <c r="AD19">
        <f t="shared" si="4"/>
        <v>3900</v>
      </c>
      <c r="AE19">
        <f t="shared" si="5"/>
        <v>6000</v>
      </c>
    </row>
    <row r="20" spans="1:61" x14ac:dyDescent="0.25">
      <c r="A20" s="8" t="s">
        <v>17</v>
      </c>
      <c r="B20" s="15" t="s">
        <v>62</v>
      </c>
      <c r="C20" s="10" t="s">
        <v>63</v>
      </c>
      <c r="D20" s="10" t="str">
        <f>VLOOKUP(B20,[1]!Tabella1[[Codice]:[Descrizione]],2,FALSE)</f>
        <v>PIN COLLEGAMENTO VOLANT LAVORATO</v>
      </c>
      <c r="E20" s="11" t="s">
        <v>20</v>
      </c>
      <c r="F20" s="10" t="s">
        <v>29</v>
      </c>
      <c r="G20" s="17">
        <v>15</v>
      </c>
      <c r="H20" s="16">
        <v>60</v>
      </c>
      <c r="I20" s="2">
        <f t="shared" si="6"/>
        <v>150</v>
      </c>
      <c r="J20" s="13">
        <v>16</v>
      </c>
      <c r="K20" s="51">
        <v>7.96</v>
      </c>
      <c r="L20" s="10">
        <v>6.4</v>
      </c>
      <c r="M20" s="57">
        <f>+K20</f>
        <v>7.96</v>
      </c>
      <c r="N20" s="57" t="s">
        <v>363</v>
      </c>
      <c r="O20" s="72" t="e">
        <f t="shared" si="7"/>
        <v>#N/A</v>
      </c>
      <c r="P20" s="54" t="e">
        <f>VLOOKUP(B20,Foglio1!AA:AD,4,FALSE)</f>
        <v>#N/A</v>
      </c>
      <c r="Q20" s="54" t="e">
        <f>VLOOKUP(B20,Foglio1!AA:AD,2,FALSE)</f>
        <v>#N/A</v>
      </c>
      <c r="R20" s="54" t="e">
        <f>VLOOKUP(B20,Foglio1!AA:AE,5,FALSE)</f>
        <v>#N/A</v>
      </c>
      <c r="S20" s="54" t="e">
        <f t="shared" si="8"/>
        <v>#N/A</v>
      </c>
      <c r="T20">
        <f t="shared" si="9"/>
        <v>3980</v>
      </c>
      <c r="U20">
        <f t="shared" si="1"/>
        <v>3200</v>
      </c>
      <c r="W20" s="10">
        <v>40</v>
      </c>
      <c r="X20" t="s">
        <v>22</v>
      </c>
      <c r="Z20">
        <v>40</v>
      </c>
      <c r="AB20">
        <f t="shared" si="2"/>
        <v>240</v>
      </c>
      <c r="AC20">
        <f t="shared" si="3"/>
        <v>477.6</v>
      </c>
      <c r="AD20">
        <f t="shared" si="4"/>
        <v>960</v>
      </c>
      <c r="AE20">
        <f t="shared" si="5"/>
        <v>1194</v>
      </c>
    </row>
    <row r="21" spans="1:61" x14ac:dyDescent="0.25">
      <c r="A21" s="8" t="s">
        <v>17</v>
      </c>
      <c r="B21" s="15" t="s">
        <v>64</v>
      </c>
      <c r="C21" s="10" t="s">
        <v>65</v>
      </c>
      <c r="D21" s="10" t="str">
        <f>VLOOKUP(B21,[1]!Tabella1[[Codice]:[Descrizione]],2,FALSE)</f>
        <v>SUPPORTO INTERMEDIO TETTUCCIO</v>
      </c>
      <c r="E21" s="11" t="s">
        <v>20</v>
      </c>
      <c r="F21" s="10" t="s">
        <v>29</v>
      </c>
      <c r="G21" s="16">
        <v>5</v>
      </c>
      <c r="H21" s="17">
        <v>20</v>
      </c>
      <c r="I21" s="2">
        <f t="shared" si="6"/>
        <v>50</v>
      </c>
      <c r="J21" s="10">
        <v>35</v>
      </c>
      <c r="K21" s="13">
        <v>19</v>
      </c>
      <c r="L21" s="51">
        <v>11</v>
      </c>
      <c r="M21" s="10">
        <v>11</v>
      </c>
      <c r="N21" s="57" t="s">
        <v>363</v>
      </c>
      <c r="O21" s="72" t="e">
        <f t="shared" si="7"/>
        <v>#N/A</v>
      </c>
      <c r="P21" s="54" t="e">
        <f>VLOOKUP(B21,Foglio1!AA:AD,4,FALSE)</f>
        <v>#N/A</v>
      </c>
      <c r="Q21" s="54" t="e">
        <f>VLOOKUP(B21,Foglio1!AA:AD,2,FALSE)</f>
        <v>#N/A</v>
      </c>
      <c r="R21" s="54" t="e">
        <f>VLOOKUP(B21,Foglio1!AA:AE,5,FALSE)</f>
        <v>#N/A</v>
      </c>
      <c r="S21" s="54" t="e">
        <f t="shared" si="8"/>
        <v>#N/A</v>
      </c>
      <c r="W21" s="10">
        <v>40</v>
      </c>
      <c r="X21" t="s">
        <v>22</v>
      </c>
      <c r="Z21">
        <v>40</v>
      </c>
      <c r="AB21">
        <f t="shared" si="2"/>
        <v>175</v>
      </c>
      <c r="AC21">
        <f t="shared" si="3"/>
        <v>380</v>
      </c>
      <c r="AD21">
        <f t="shared" si="4"/>
        <v>550</v>
      </c>
      <c r="AE21">
        <f t="shared" si="5"/>
        <v>950</v>
      </c>
    </row>
    <row r="22" spans="1:61" x14ac:dyDescent="0.25">
      <c r="M22"/>
      <c r="N22"/>
      <c r="O22"/>
      <c r="P22"/>
      <c r="Q22" s="54" t="e">
        <f>VLOOKUP(B22,Foglio1!AA:AD,2,FALSE)</f>
        <v>#N/A</v>
      </c>
      <c r="R22" s="54" t="e">
        <f>VLOOKUP(B22,Foglio1!AA:AE,5,FALSE)</f>
        <v>#N/A</v>
      </c>
      <c r="AB22">
        <f>SUM(AB3:AB21)</f>
        <v>10158.799999999999</v>
      </c>
      <c r="AC22">
        <f>SUM(AC3:AC21)</f>
        <v>26173.679999999997</v>
      </c>
      <c r="AD22">
        <f>SUM(AD3:AD21)</f>
        <v>53082.5</v>
      </c>
      <c r="AE22">
        <f t="shared" si="5"/>
        <v>0</v>
      </c>
    </row>
    <row r="23" spans="1:61" x14ac:dyDescent="0.25">
      <c r="M23"/>
      <c r="N23"/>
      <c r="O23"/>
      <c r="P23"/>
      <c r="Q23" s="54" t="e">
        <f>VLOOKUP(B23,Foglio1!AA:AD,2,FALSE)</f>
        <v>#N/A</v>
      </c>
      <c r="R23" s="54" t="e">
        <f>VLOOKUP(B23,Foglio1!AA:AE,5,FALSE)</f>
        <v>#N/A</v>
      </c>
      <c r="AB23">
        <f>+AB22/50</f>
        <v>203.17599999999999</v>
      </c>
      <c r="AC23">
        <f>+AC22/200</f>
        <v>130.86839999999998</v>
      </c>
      <c r="AD23">
        <f>+AD22/500</f>
        <v>106.16500000000001</v>
      </c>
      <c r="AE23">
        <f t="shared" si="5"/>
        <v>0</v>
      </c>
    </row>
    <row r="24" spans="1:61" x14ac:dyDescent="0.25">
      <c r="B24">
        <v>5</v>
      </c>
      <c r="J24" s="19" t="s">
        <v>66</v>
      </c>
      <c r="M24"/>
      <c r="N24"/>
      <c r="O24"/>
      <c r="P24"/>
      <c r="Q24" s="54" t="e">
        <f>VLOOKUP(B24,Foglio1!AA:AD,2,FALSE)</f>
        <v>#N/A</v>
      </c>
      <c r="R24" s="54" t="e">
        <f>VLOOKUP(B24,Foglio1!AA:AE,5,FALSE)</f>
        <v>#N/A</v>
      </c>
      <c r="AD24">
        <v>1</v>
      </c>
      <c r="AU24">
        <v>0</v>
      </c>
      <c r="BI24">
        <v>3</v>
      </c>
    </row>
    <row r="25" spans="1:61" ht="90" x14ac:dyDescent="0.25">
      <c r="A25" s="20" t="s">
        <v>0</v>
      </c>
      <c r="B25" s="1" t="s">
        <v>1</v>
      </c>
      <c r="C25" s="2" t="s">
        <v>2</v>
      </c>
      <c r="D25" s="10" t="e">
        <f>VLOOKUP(B25,[1]!Tabella1[[Codice]:[Descrizione]],2,FALSE)</f>
        <v>#N/A</v>
      </c>
      <c r="E25" s="3" t="s">
        <v>67</v>
      </c>
      <c r="F25" s="3" t="s">
        <v>5</v>
      </c>
      <c r="G25" s="3" t="s">
        <v>68</v>
      </c>
      <c r="H25" s="3" t="s">
        <v>69</v>
      </c>
      <c r="I25" s="3" t="s">
        <v>70</v>
      </c>
      <c r="J25" s="21" t="s">
        <v>71</v>
      </c>
      <c r="K25" s="3" t="s">
        <v>72</v>
      </c>
      <c r="L25" s="3" t="s">
        <v>73</v>
      </c>
      <c r="M25" s="4"/>
      <c r="N25" s="4"/>
      <c r="O25" s="4"/>
      <c r="P25" s="4"/>
      <c r="Q25" s="54" t="e">
        <f>VLOOKUP(B25,Foglio1!AA:AD,2,FALSE)</f>
        <v>#N/A</v>
      </c>
      <c r="R25" s="54" t="e">
        <f>VLOOKUP(B25,Foglio1!AA:AE,5,FALSE)</f>
        <v>#N/A</v>
      </c>
      <c r="T25" s="4"/>
      <c r="U25" s="4"/>
      <c r="V25" s="4"/>
      <c r="W25" s="5" t="s">
        <v>13</v>
      </c>
      <c r="Z25" s="7" t="s">
        <v>15</v>
      </c>
    </row>
    <row r="26" spans="1:61" x14ac:dyDescent="0.25">
      <c r="A26" s="2" t="s">
        <v>74</v>
      </c>
      <c r="B26" s="9" t="s">
        <v>75</v>
      </c>
      <c r="C26" s="10" t="s">
        <v>76</v>
      </c>
      <c r="D26" s="10" t="str">
        <f>VLOOKUP(B26,[1]!Tabella1[[Codice]:[Descrizione]],2,FALSE)</f>
        <v>ROTELLA TERMINALE ANTI SCAVALLAMENTO ZEROGRADI</v>
      </c>
      <c r="E26" s="2" t="s">
        <v>77</v>
      </c>
      <c r="F26" s="2" t="s">
        <v>78</v>
      </c>
      <c r="G26" s="12">
        <v>100</v>
      </c>
      <c r="H26" s="2">
        <f>+G26*4</f>
        <v>400</v>
      </c>
      <c r="I26" s="2">
        <f>+G26*10</f>
        <v>1000</v>
      </c>
      <c r="J26" s="13">
        <v>0.55000000000000004</v>
      </c>
      <c r="K26" s="10">
        <v>0.44</v>
      </c>
      <c r="L26" s="51">
        <v>0.36</v>
      </c>
      <c r="M26" s="54">
        <f t="shared" ref="M26:M42" si="11">+L26</f>
        <v>0.36</v>
      </c>
      <c r="Q26" s="54" t="e">
        <f>VLOOKUP(B26,Foglio1!AA:AD,2,FALSE)</f>
        <v>#N/A</v>
      </c>
      <c r="R26" s="54" t="e">
        <f>VLOOKUP(B26,Foglio1!AA:AE,5,FALSE)</f>
        <v>#N/A</v>
      </c>
      <c r="T26">
        <f t="shared" ref="T26:T42" si="12">+M26*500</f>
        <v>180</v>
      </c>
      <c r="U26">
        <f t="shared" ref="U26:U42" si="13">+L26*500</f>
        <v>180</v>
      </c>
      <c r="W26" s="10">
        <v>35</v>
      </c>
      <c r="Z26">
        <v>40</v>
      </c>
      <c r="AB26">
        <f t="shared" ref="AB26:AB42" si="14">+J26*G26</f>
        <v>55.000000000000007</v>
      </c>
      <c r="AC26">
        <f t="shared" ref="AC26:AC42" si="15">+K26*H26</f>
        <v>176</v>
      </c>
      <c r="AD26">
        <f t="shared" ref="AD26:AD42" si="16">+L26*I26</f>
        <v>360</v>
      </c>
    </row>
    <row r="27" spans="1:61" x14ac:dyDescent="0.25">
      <c r="A27" s="2" t="s">
        <v>74</v>
      </c>
      <c r="B27" s="9" t="s">
        <v>79</v>
      </c>
      <c r="C27" s="10" t="s">
        <v>80</v>
      </c>
      <c r="D27" s="10" t="str">
        <f>VLOOKUP(B27,[1]!Tabella1[[Codice]:[Descrizione]],2,FALSE)</f>
        <v>AVVOLGICINGHIA CHIUSURA LATO FOLLE ZEROGRADI</v>
      </c>
      <c r="E27" s="2" t="s">
        <v>77</v>
      </c>
      <c r="F27" s="2" t="s">
        <v>78</v>
      </c>
      <c r="G27" s="12">
        <v>50</v>
      </c>
      <c r="H27" s="2">
        <f t="shared" ref="H27:H39" si="17">+G27*4</f>
        <v>200</v>
      </c>
      <c r="I27" s="2">
        <f t="shared" ref="I27:I39" si="18">+G27*10</f>
        <v>500</v>
      </c>
      <c r="J27" s="13">
        <v>1.2</v>
      </c>
      <c r="K27" s="10">
        <v>0.94</v>
      </c>
      <c r="L27" s="51">
        <v>0.74</v>
      </c>
      <c r="M27" s="54">
        <f t="shared" si="11"/>
        <v>0.74</v>
      </c>
      <c r="Q27" s="54" t="e">
        <f>VLOOKUP(B27,Foglio1!AA:AD,2,FALSE)</f>
        <v>#N/A</v>
      </c>
      <c r="R27" s="54" t="e">
        <f>VLOOKUP(B27,Foglio1!AA:AE,5,FALSE)</f>
        <v>#N/A</v>
      </c>
      <c r="T27">
        <f t="shared" si="12"/>
        <v>370</v>
      </c>
      <c r="U27">
        <f t="shared" si="13"/>
        <v>370</v>
      </c>
      <c r="W27" s="10">
        <v>35</v>
      </c>
      <c r="Z27">
        <v>40</v>
      </c>
      <c r="AB27">
        <f t="shared" si="14"/>
        <v>60</v>
      </c>
      <c r="AC27">
        <f t="shared" si="15"/>
        <v>188</v>
      </c>
      <c r="AD27">
        <f t="shared" si="16"/>
        <v>370</v>
      </c>
    </row>
    <row r="28" spans="1:61" x14ac:dyDescent="0.25">
      <c r="A28" s="2" t="s">
        <v>74</v>
      </c>
      <c r="B28" s="9" t="s">
        <v>81</v>
      </c>
      <c r="C28" s="10" t="s">
        <v>82</v>
      </c>
      <c r="D28" s="10" t="str">
        <f>VLOOKUP(B28,[1]!Tabella1[[Codice]:[Descrizione]],2,FALSE)</f>
        <v>AVVOLGICINGHIA CHIUSURA LATO MOTORE ZEROGRADI</v>
      </c>
      <c r="E28" s="2" t="s">
        <v>77</v>
      </c>
      <c r="F28" s="2" t="s">
        <v>78</v>
      </c>
      <c r="G28" s="12">
        <v>50</v>
      </c>
      <c r="H28" s="2">
        <f t="shared" si="17"/>
        <v>200</v>
      </c>
      <c r="I28" s="2">
        <f t="shared" si="18"/>
        <v>500</v>
      </c>
      <c r="J28" s="13">
        <v>0.73</v>
      </c>
      <c r="K28" s="10">
        <v>0.61</v>
      </c>
      <c r="L28" s="51">
        <v>0.51</v>
      </c>
      <c r="M28" s="54">
        <f t="shared" si="11"/>
        <v>0.51</v>
      </c>
      <c r="Q28" s="54" t="e">
        <f>VLOOKUP(B28,Foglio1!AA:AD,2,FALSE)</f>
        <v>#N/A</v>
      </c>
      <c r="R28" s="54" t="e">
        <f>VLOOKUP(B28,Foglio1!AA:AE,5,FALSE)</f>
        <v>#N/A</v>
      </c>
      <c r="T28">
        <f t="shared" si="12"/>
        <v>255</v>
      </c>
      <c r="U28">
        <f t="shared" si="13"/>
        <v>255</v>
      </c>
      <c r="W28" s="10">
        <v>35</v>
      </c>
      <c r="Z28">
        <v>40</v>
      </c>
      <c r="AB28">
        <f t="shared" si="14"/>
        <v>36.5</v>
      </c>
      <c r="AC28">
        <f t="shared" si="15"/>
        <v>122</v>
      </c>
      <c r="AD28">
        <f t="shared" si="16"/>
        <v>255</v>
      </c>
    </row>
    <row r="29" spans="1:61" x14ac:dyDescent="0.25">
      <c r="A29" s="2" t="s">
        <v>74</v>
      </c>
      <c r="B29" s="9" t="s">
        <v>83</v>
      </c>
      <c r="C29" s="10" t="s">
        <v>84</v>
      </c>
      <c r="D29" s="10" t="str">
        <f>VLOOKUP(B29,[1]!Tabella1[[Codice]:[Descrizione]],2,FALSE)</f>
        <v>AVVOLGICINGHIA CORONA ESTERNA ZEROGRADI</v>
      </c>
      <c r="E29" s="2" t="s">
        <v>77</v>
      </c>
      <c r="F29" s="2" t="s">
        <v>78</v>
      </c>
      <c r="G29" s="12">
        <v>100</v>
      </c>
      <c r="H29" s="2">
        <f t="shared" si="17"/>
        <v>400</v>
      </c>
      <c r="I29" s="2">
        <f t="shared" si="18"/>
        <v>1000</v>
      </c>
      <c r="J29" s="13">
        <v>1.56</v>
      </c>
      <c r="K29" s="10">
        <v>1.27</v>
      </c>
      <c r="L29" s="51">
        <v>1.08</v>
      </c>
      <c r="M29" s="54">
        <f t="shared" si="11"/>
        <v>1.08</v>
      </c>
      <c r="Q29" s="54" t="e">
        <f>VLOOKUP(B29,Foglio1!AA:AD,2,FALSE)</f>
        <v>#N/A</v>
      </c>
      <c r="R29" s="54" t="e">
        <f>VLOOKUP(B29,Foglio1!AA:AE,5,FALSE)</f>
        <v>#N/A</v>
      </c>
      <c r="T29">
        <f t="shared" si="12"/>
        <v>540</v>
      </c>
      <c r="U29">
        <f t="shared" si="13"/>
        <v>540</v>
      </c>
      <c r="W29" s="10">
        <v>35</v>
      </c>
      <c r="Z29">
        <v>40</v>
      </c>
      <c r="AB29">
        <f t="shared" si="14"/>
        <v>156</v>
      </c>
      <c r="AC29">
        <f t="shared" si="15"/>
        <v>508</v>
      </c>
      <c r="AD29">
        <f t="shared" si="16"/>
        <v>1080</v>
      </c>
    </row>
    <row r="30" spans="1:61" x14ac:dyDescent="0.25">
      <c r="A30" s="2" t="s">
        <v>74</v>
      </c>
      <c r="B30" s="9" t="s">
        <v>85</v>
      </c>
      <c r="C30" s="10" t="s">
        <v>86</v>
      </c>
      <c r="D30" s="10" t="str">
        <f>VLOOKUP(B30,[1]!Tabella1[[Codice]:[Descrizione]],2,FALSE)</f>
        <v>AVVOLGICINGHIA SEMISUPPORTO PRINCIPALE ZEROGRADI</v>
      </c>
      <c r="E30" s="2" t="s">
        <v>77</v>
      </c>
      <c r="F30" s="2" t="s">
        <v>78</v>
      </c>
      <c r="G30" s="12">
        <v>200</v>
      </c>
      <c r="H30" s="2">
        <f t="shared" si="17"/>
        <v>800</v>
      </c>
      <c r="I30" s="2">
        <f t="shared" si="18"/>
        <v>2000</v>
      </c>
      <c r="J30" s="13">
        <v>0.76</v>
      </c>
      <c r="K30" s="10">
        <v>0.64</v>
      </c>
      <c r="L30" s="51">
        <v>0.53</v>
      </c>
      <c r="M30" s="54">
        <f t="shared" si="11"/>
        <v>0.53</v>
      </c>
      <c r="Q30" s="54" t="e">
        <f>VLOOKUP(B30,Foglio1!AA:AD,2,FALSE)</f>
        <v>#N/A</v>
      </c>
      <c r="R30" s="54" t="e">
        <f>VLOOKUP(B30,Foglio1!AA:AE,5,FALSE)</f>
        <v>#N/A</v>
      </c>
      <c r="T30">
        <f t="shared" si="12"/>
        <v>265</v>
      </c>
      <c r="U30">
        <f t="shared" si="13"/>
        <v>265</v>
      </c>
      <c r="W30" s="10">
        <v>35</v>
      </c>
      <c r="Z30">
        <v>40</v>
      </c>
      <c r="AB30">
        <f t="shared" si="14"/>
        <v>152</v>
      </c>
      <c r="AC30">
        <f t="shared" si="15"/>
        <v>512</v>
      </c>
      <c r="AD30">
        <f t="shared" si="16"/>
        <v>1060</v>
      </c>
    </row>
    <row r="31" spans="1:61" x14ac:dyDescent="0.25">
      <c r="A31" s="2" t="s">
        <v>74</v>
      </c>
      <c r="B31" s="9" t="s">
        <v>87</v>
      </c>
      <c r="C31" s="10" t="s">
        <v>88</v>
      </c>
      <c r="D31" s="10" t="str">
        <f>VLOOKUP(B31,[1]!Tabella1[[Codice]:[Descrizione]],2,FALSE)</f>
        <v>GUSCIO SUPPORTO MOLLA LATO INTERNO ZEROGRADI</v>
      </c>
      <c r="E31" s="2" t="s">
        <v>77</v>
      </c>
      <c r="F31" s="2" t="s">
        <v>78</v>
      </c>
      <c r="G31" s="12">
        <v>100</v>
      </c>
      <c r="H31" s="2">
        <f t="shared" si="17"/>
        <v>400</v>
      </c>
      <c r="I31" s="2">
        <f t="shared" si="18"/>
        <v>1000</v>
      </c>
      <c r="J31" s="13">
        <v>0.9</v>
      </c>
      <c r="K31" s="10">
        <v>0.79</v>
      </c>
      <c r="L31" s="51">
        <v>0.68</v>
      </c>
      <c r="M31" s="54">
        <f t="shared" si="11"/>
        <v>0.68</v>
      </c>
      <c r="Q31" s="54" t="e">
        <f>VLOOKUP(B31,Foglio1!AA:AD,2,FALSE)</f>
        <v>#N/A</v>
      </c>
      <c r="R31" s="54" t="e">
        <f>VLOOKUP(B31,Foglio1!AA:AE,5,FALSE)</f>
        <v>#N/A</v>
      </c>
      <c r="T31">
        <f t="shared" si="12"/>
        <v>340</v>
      </c>
      <c r="U31">
        <f t="shared" si="13"/>
        <v>340</v>
      </c>
      <c r="W31" s="10">
        <v>35</v>
      </c>
      <c r="Z31">
        <v>40</v>
      </c>
      <c r="AB31">
        <f t="shared" si="14"/>
        <v>90</v>
      </c>
      <c r="AC31">
        <f t="shared" si="15"/>
        <v>316</v>
      </c>
      <c r="AD31">
        <f t="shared" si="16"/>
        <v>680</v>
      </c>
    </row>
    <row r="32" spans="1:61" x14ac:dyDescent="0.25">
      <c r="A32" s="2" t="s">
        <v>74</v>
      </c>
      <c r="B32" s="9" t="s">
        <v>89</v>
      </c>
      <c r="C32" s="10" t="s">
        <v>90</v>
      </c>
      <c r="D32" s="10" t="str">
        <f>VLOOKUP(B32,[1]!Tabella1[[Codice]:[Descrizione]],2,FALSE)</f>
        <v>PROTEGGI TELO FRANGITRATTA ZEROGRADI</v>
      </c>
      <c r="E32" s="2" t="s">
        <v>91</v>
      </c>
      <c r="F32" s="2" t="s">
        <v>92</v>
      </c>
      <c r="G32" s="12">
        <v>180</v>
      </c>
      <c r="H32" s="2">
        <f t="shared" si="17"/>
        <v>720</v>
      </c>
      <c r="I32" s="2">
        <f t="shared" si="18"/>
        <v>1800</v>
      </c>
      <c r="J32" s="13">
        <v>0.46</v>
      </c>
      <c r="K32" s="10">
        <v>0.37</v>
      </c>
      <c r="L32" s="51">
        <v>0.32</v>
      </c>
      <c r="M32" s="54">
        <f t="shared" si="11"/>
        <v>0.32</v>
      </c>
      <c r="Q32" s="54" t="e">
        <f>VLOOKUP(B32,Foglio1!AA:AD,2,FALSE)</f>
        <v>#N/A</v>
      </c>
      <c r="R32" s="54" t="e">
        <f>VLOOKUP(B32,Foglio1!AA:AE,5,FALSE)</f>
        <v>#N/A</v>
      </c>
      <c r="T32">
        <f t="shared" si="12"/>
        <v>160</v>
      </c>
      <c r="U32">
        <f t="shared" si="13"/>
        <v>160</v>
      </c>
      <c r="W32" s="10">
        <v>35</v>
      </c>
      <c r="Z32">
        <v>40</v>
      </c>
      <c r="AB32">
        <f t="shared" si="14"/>
        <v>82.8</v>
      </c>
      <c r="AC32">
        <f t="shared" si="15"/>
        <v>266.39999999999998</v>
      </c>
      <c r="AD32">
        <f t="shared" si="16"/>
        <v>576</v>
      </c>
    </row>
    <row r="33" spans="1:30" x14ac:dyDescent="0.25">
      <c r="A33" s="2" t="s">
        <v>74</v>
      </c>
      <c r="B33" s="9" t="s">
        <v>93</v>
      </c>
      <c r="C33" s="10" t="s">
        <v>94</v>
      </c>
      <c r="D33" s="10" t="str">
        <f>VLOOKUP(B33,[1]!Tabella1[[Codice]:[Descrizione]],2,FALSE)</f>
        <v>ROTELLA CARRELLO-RINVIO ZEROGRADI</v>
      </c>
      <c r="E33" s="2" t="s">
        <v>77</v>
      </c>
      <c r="F33" s="2" t="s">
        <v>78</v>
      </c>
      <c r="G33" s="12">
        <v>460</v>
      </c>
      <c r="H33" s="2">
        <f t="shared" si="17"/>
        <v>1840</v>
      </c>
      <c r="I33" s="2">
        <f t="shared" si="18"/>
        <v>4600</v>
      </c>
      <c r="J33" s="13">
        <v>0.22</v>
      </c>
      <c r="K33" s="10">
        <v>0.18</v>
      </c>
      <c r="L33" s="51">
        <v>0.15</v>
      </c>
      <c r="M33" s="54">
        <f t="shared" si="11"/>
        <v>0.15</v>
      </c>
      <c r="Q33" s="54" t="e">
        <f>VLOOKUP(B33,Foglio1!AA:AD,2,FALSE)</f>
        <v>#N/A</v>
      </c>
      <c r="R33" s="54" t="e">
        <f>VLOOKUP(B33,Foglio1!AA:AE,5,FALSE)</f>
        <v>#N/A</v>
      </c>
      <c r="T33">
        <f t="shared" si="12"/>
        <v>75</v>
      </c>
      <c r="U33">
        <f t="shared" si="13"/>
        <v>75</v>
      </c>
      <c r="W33" s="10">
        <v>35</v>
      </c>
      <c r="Z33">
        <v>40</v>
      </c>
      <c r="AB33">
        <f t="shared" si="14"/>
        <v>101.2</v>
      </c>
      <c r="AC33">
        <f t="shared" si="15"/>
        <v>331.2</v>
      </c>
      <c r="AD33">
        <f t="shared" si="16"/>
        <v>690</v>
      </c>
    </row>
    <row r="34" spans="1:30" x14ac:dyDescent="0.25">
      <c r="A34" s="2" t="s">
        <v>74</v>
      </c>
      <c r="B34" s="9" t="s">
        <v>95</v>
      </c>
      <c r="C34" s="10" t="s">
        <v>96</v>
      </c>
      <c r="D34" s="10" t="str">
        <f>VLOOKUP(B34,[1]!Tabella1[[Codice]:[Descrizione]],2,FALSE)</f>
        <v>TAPPINO ANCORAGGIO GUIDA  ZEROGRADI</v>
      </c>
      <c r="E34" s="2" t="s">
        <v>91</v>
      </c>
      <c r="F34" s="2" t="s">
        <v>78</v>
      </c>
      <c r="G34" s="12">
        <v>430</v>
      </c>
      <c r="H34" s="2">
        <f t="shared" si="17"/>
        <v>1720</v>
      </c>
      <c r="I34" s="2">
        <f t="shared" si="18"/>
        <v>4300</v>
      </c>
      <c r="J34" s="13">
        <v>0.24</v>
      </c>
      <c r="K34" s="10">
        <v>0.19</v>
      </c>
      <c r="L34" s="51">
        <v>0.16</v>
      </c>
      <c r="M34" s="54">
        <f t="shared" si="11"/>
        <v>0.16</v>
      </c>
      <c r="Q34" s="54" t="e">
        <f>VLOOKUP(B34,Foglio1!AA:AD,2,FALSE)</f>
        <v>#N/A</v>
      </c>
      <c r="R34" s="54" t="e">
        <f>VLOOKUP(B34,Foglio1!AA:AE,5,FALSE)</f>
        <v>#N/A</v>
      </c>
      <c r="T34">
        <f t="shared" si="12"/>
        <v>80</v>
      </c>
      <c r="U34">
        <f t="shared" si="13"/>
        <v>80</v>
      </c>
      <c r="W34" s="10">
        <v>35</v>
      </c>
      <c r="Z34">
        <v>40</v>
      </c>
      <c r="AB34">
        <f t="shared" si="14"/>
        <v>103.2</v>
      </c>
      <c r="AC34">
        <f t="shared" si="15"/>
        <v>326.8</v>
      </c>
      <c r="AD34">
        <f t="shared" si="16"/>
        <v>688</v>
      </c>
    </row>
    <row r="35" spans="1:30" x14ac:dyDescent="0.25">
      <c r="A35" s="2" t="s">
        <v>74</v>
      </c>
      <c r="B35" s="9" t="s">
        <v>97</v>
      </c>
      <c r="C35" s="10" t="s">
        <v>98</v>
      </c>
      <c r="D35" s="10" t="str">
        <f>VLOOKUP(B35,[1]!Tabella1[[Codice]:[Descrizione]],2,FALSE)</f>
        <v>TAPPO CHIUSURA SUPERIORE GAMBA TELESCOPICA ZEROGRADI</v>
      </c>
      <c r="E35" s="22" t="s">
        <v>91</v>
      </c>
      <c r="F35" s="2" t="s">
        <v>92</v>
      </c>
      <c r="G35" s="12">
        <v>50</v>
      </c>
      <c r="H35" s="2">
        <v>50</v>
      </c>
      <c r="I35" s="2">
        <v>100</v>
      </c>
      <c r="J35" s="13">
        <v>1.75</v>
      </c>
      <c r="K35" s="10">
        <v>1.75</v>
      </c>
      <c r="L35" s="51">
        <v>1.45</v>
      </c>
      <c r="M35" s="54">
        <f t="shared" si="11"/>
        <v>1.45</v>
      </c>
      <c r="Q35" s="54" t="e">
        <f>VLOOKUP(B35,Foglio1!AA:AD,2,FALSE)</f>
        <v>#N/A</v>
      </c>
      <c r="R35" s="54" t="e">
        <f>VLOOKUP(B35,Foglio1!AA:AE,5,FALSE)</f>
        <v>#N/A</v>
      </c>
      <c r="T35">
        <f t="shared" si="12"/>
        <v>725</v>
      </c>
      <c r="U35">
        <f t="shared" si="13"/>
        <v>725</v>
      </c>
      <c r="W35" s="10">
        <v>35</v>
      </c>
      <c r="Z35">
        <v>40</v>
      </c>
      <c r="AB35">
        <f t="shared" si="14"/>
        <v>87.5</v>
      </c>
      <c r="AC35">
        <f t="shared" si="15"/>
        <v>87.5</v>
      </c>
      <c r="AD35">
        <f t="shared" si="16"/>
        <v>145</v>
      </c>
    </row>
    <row r="36" spans="1:30" s="26" customFormat="1" x14ac:dyDescent="0.25">
      <c r="A36" s="23" t="s">
        <v>74</v>
      </c>
      <c r="B36" s="24" t="s">
        <v>97</v>
      </c>
      <c r="C36" s="25" t="s">
        <v>98</v>
      </c>
      <c r="D36" s="25" t="str">
        <f>VLOOKUP(B36,[1]!Tabella1[[Codice]:[Descrizione]],2,FALSE)</f>
        <v>TAPPO CHIUSURA SUPERIORE GAMBA TELESCOPICA ZEROGRADI</v>
      </c>
      <c r="E36" s="23" t="s">
        <v>77</v>
      </c>
      <c r="F36" s="23" t="s">
        <v>92</v>
      </c>
      <c r="G36" s="23">
        <v>50</v>
      </c>
      <c r="H36" s="23">
        <v>50</v>
      </c>
      <c r="I36" s="23">
        <v>100</v>
      </c>
      <c r="J36" s="25">
        <v>1.75</v>
      </c>
      <c r="K36" s="25">
        <v>1.75</v>
      </c>
      <c r="L36" s="51">
        <v>1.45</v>
      </c>
      <c r="M36">
        <f t="shared" si="11"/>
        <v>1.45</v>
      </c>
      <c r="N36"/>
      <c r="O36"/>
      <c r="P36"/>
      <c r="Q36" s="54" t="e">
        <f>VLOOKUP(B36,Foglio1!AA:AD,2,FALSE)</f>
        <v>#N/A</v>
      </c>
      <c r="R36" s="54" t="e">
        <f>VLOOKUP(B36,Foglio1!AA:AE,5,FALSE)</f>
        <v>#N/A</v>
      </c>
      <c r="S36" s="54"/>
      <c r="T36">
        <f t="shared" si="12"/>
        <v>725</v>
      </c>
      <c r="U36">
        <f t="shared" si="13"/>
        <v>725</v>
      </c>
      <c r="W36" s="25">
        <v>35</v>
      </c>
      <c r="Z36" s="26">
        <v>40</v>
      </c>
      <c r="AB36" s="26">
        <f t="shared" si="14"/>
        <v>87.5</v>
      </c>
      <c r="AC36" s="26">
        <f t="shared" si="15"/>
        <v>87.5</v>
      </c>
      <c r="AD36" s="26">
        <f t="shared" si="16"/>
        <v>145</v>
      </c>
    </row>
    <row r="37" spans="1:30" s="26" customFormat="1" x14ac:dyDescent="0.25">
      <c r="A37" s="23" t="s">
        <v>74</v>
      </c>
      <c r="B37" s="24" t="s">
        <v>97</v>
      </c>
      <c r="C37" s="25" t="s">
        <v>98</v>
      </c>
      <c r="D37" s="25" t="str">
        <f>VLOOKUP(B37,[1]!Tabella1[[Codice]:[Descrizione]],2,FALSE)</f>
        <v>TAPPO CHIUSURA SUPERIORE GAMBA TELESCOPICA ZEROGRADI</v>
      </c>
      <c r="E37" s="23" t="s">
        <v>99</v>
      </c>
      <c r="F37" s="23" t="s">
        <v>92</v>
      </c>
      <c r="G37" s="23">
        <v>50</v>
      </c>
      <c r="H37" s="23">
        <v>50</v>
      </c>
      <c r="I37" s="23">
        <v>100</v>
      </c>
      <c r="J37" s="25">
        <v>1.75</v>
      </c>
      <c r="K37" s="25">
        <v>1.75</v>
      </c>
      <c r="L37" s="51">
        <v>1.45</v>
      </c>
      <c r="M37">
        <f t="shared" si="11"/>
        <v>1.45</v>
      </c>
      <c r="N37"/>
      <c r="O37"/>
      <c r="P37"/>
      <c r="Q37" s="54" t="e">
        <f>VLOOKUP(B37,Foglio1!AA:AD,2,FALSE)</f>
        <v>#N/A</v>
      </c>
      <c r="R37" s="54" t="e">
        <f>VLOOKUP(B37,Foglio1!AA:AE,5,FALSE)</f>
        <v>#N/A</v>
      </c>
      <c r="S37" s="54"/>
      <c r="T37">
        <f t="shared" si="12"/>
        <v>725</v>
      </c>
      <c r="U37">
        <f t="shared" si="13"/>
        <v>725</v>
      </c>
      <c r="W37" s="25">
        <v>35</v>
      </c>
      <c r="Z37" s="26">
        <v>40</v>
      </c>
      <c r="AB37" s="26">
        <f t="shared" si="14"/>
        <v>87.5</v>
      </c>
      <c r="AC37" s="26">
        <f t="shared" si="15"/>
        <v>87.5</v>
      </c>
      <c r="AD37" s="26">
        <f t="shared" si="16"/>
        <v>145</v>
      </c>
    </row>
    <row r="38" spans="1:30" x14ac:dyDescent="0.25">
      <c r="A38" s="2" t="s">
        <v>74</v>
      </c>
      <c r="B38" s="9" t="s">
        <v>100</v>
      </c>
      <c r="C38" s="10" t="s">
        <v>101</v>
      </c>
      <c r="D38" s="10" t="str">
        <f>VLOOKUP(B38,[1]!Tabella1[[Codice]:[Descrizione]],2,FALSE)</f>
        <v>TRASCINATORE MOLLA ESTREMO Ø85 ZEROGRADI</v>
      </c>
      <c r="E38" s="2" t="s">
        <v>77</v>
      </c>
      <c r="F38" s="2" t="s">
        <v>78</v>
      </c>
      <c r="G38" s="12">
        <v>100</v>
      </c>
      <c r="H38" s="2">
        <f t="shared" si="17"/>
        <v>400</v>
      </c>
      <c r="I38" s="2">
        <f t="shared" si="18"/>
        <v>1000</v>
      </c>
      <c r="J38" s="13">
        <v>1.21</v>
      </c>
      <c r="K38" s="10">
        <v>0.97</v>
      </c>
      <c r="L38" s="51">
        <v>0.9</v>
      </c>
      <c r="M38" s="54">
        <f t="shared" si="11"/>
        <v>0.9</v>
      </c>
      <c r="Q38" s="54" t="e">
        <f>VLOOKUP(B38,Foglio1!AA:AD,2,FALSE)</f>
        <v>#N/A</v>
      </c>
      <c r="R38" s="54" t="e">
        <f>VLOOKUP(B38,Foglio1!AA:AE,5,FALSE)</f>
        <v>#N/A</v>
      </c>
      <c r="T38">
        <f t="shared" si="12"/>
        <v>450</v>
      </c>
      <c r="U38">
        <f t="shared" si="13"/>
        <v>450</v>
      </c>
      <c r="W38" s="10">
        <v>35</v>
      </c>
      <c r="Z38">
        <v>40</v>
      </c>
      <c r="AB38">
        <f t="shared" si="14"/>
        <v>121</v>
      </c>
      <c r="AC38">
        <f t="shared" si="15"/>
        <v>388</v>
      </c>
      <c r="AD38">
        <f t="shared" si="16"/>
        <v>900</v>
      </c>
    </row>
    <row r="39" spans="1:30" x14ac:dyDescent="0.25">
      <c r="A39" s="2" t="s">
        <v>74</v>
      </c>
      <c r="B39" s="9" t="s">
        <v>102</v>
      </c>
      <c r="C39" s="10" t="s">
        <v>103</v>
      </c>
      <c r="D39" s="10" t="str">
        <f>VLOOKUP(B39,[1]!Tabella1[[Codice]:[Descrizione]],2,FALSE)</f>
        <v>TRASCINATORE MOTORE MOLLA BASE ZEROGRADI</v>
      </c>
      <c r="E39" s="2" t="s">
        <v>77</v>
      </c>
      <c r="F39" s="2" t="s">
        <v>78</v>
      </c>
      <c r="G39" s="12">
        <v>100</v>
      </c>
      <c r="H39" s="2">
        <f t="shared" si="17"/>
        <v>400</v>
      </c>
      <c r="I39" s="2">
        <f t="shared" si="18"/>
        <v>1000</v>
      </c>
      <c r="J39" s="13">
        <v>0.94</v>
      </c>
      <c r="K39" s="10">
        <v>0.84</v>
      </c>
      <c r="L39" s="51">
        <v>0.76</v>
      </c>
      <c r="M39" s="54">
        <f t="shared" si="11"/>
        <v>0.76</v>
      </c>
      <c r="Q39" s="54" t="e">
        <f>VLOOKUP(B39,Foglio1!AA:AD,2,FALSE)</f>
        <v>#N/A</v>
      </c>
      <c r="R39" s="54" t="e">
        <f>VLOOKUP(B39,Foglio1!AA:AE,5,FALSE)</f>
        <v>#N/A</v>
      </c>
      <c r="T39">
        <f t="shared" si="12"/>
        <v>380</v>
      </c>
      <c r="U39">
        <f t="shared" si="13"/>
        <v>380</v>
      </c>
      <c r="W39" s="10">
        <v>35</v>
      </c>
      <c r="Z39">
        <v>40</v>
      </c>
      <c r="AB39">
        <f t="shared" si="14"/>
        <v>94</v>
      </c>
      <c r="AC39">
        <f t="shared" si="15"/>
        <v>336</v>
      </c>
      <c r="AD39">
        <f t="shared" si="16"/>
        <v>760</v>
      </c>
    </row>
    <row r="40" spans="1:30" x14ac:dyDescent="0.25">
      <c r="A40" s="2" t="s">
        <v>74</v>
      </c>
      <c r="B40" s="9" t="s">
        <v>104</v>
      </c>
      <c r="C40" s="10" t="s">
        <v>105</v>
      </c>
      <c r="D40" s="10" t="str">
        <f>VLOOKUP(B40,[1]!Tabella1[[Codice]:[Descrizione]],2,FALSE)</f>
        <v>TRASCINATORE MOTORE MOLLA CHERUBINI P/ZEROGRADI</v>
      </c>
      <c r="E40" s="2" t="s">
        <v>77</v>
      </c>
      <c r="F40" s="2" t="s">
        <v>92</v>
      </c>
      <c r="G40" s="12">
        <v>50</v>
      </c>
      <c r="H40" s="2">
        <v>50</v>
      </c>
      <c r="I40" s="2">
        <v>100</v>
      </c>
      <c r="J40" s="13">
        <v>1.5</v>
      </c>
      <c r="K40" s="10">
        <v>1.5</v>
      </c>
      <c r="L40" s="51">
        <v>1.25</v>
      </c>
      <c r="M40" s="54">
        <f t="shared" si="11"/>
        <v>1.25</v>
      </c>
      <c r="Q40" s="54" t="e">
        <f>VLOOKUP(B40,Foglio1!AA:AD,2,FALSE)</f>
        <v>#N/A</v>
      </c>
      <c r="R40" s="54" t="e">
        <f>VLOOKUP(B40,Foglio1!AA:AE,5,FALSE)</f>
        <v>#N/A</v>
      </c>
      <c r="T40">
        <f t="shared" si="12"/>
        <v>625</v>
      </c>
      <c r="U40">
        <f t="shared" si="13"/>
        <v>625</v>
      </c>
      <c r="W40" s="10">
        <v>35</v>
      </c>
      <c r="Z40">
        <v>40</v>
      </c>
      <c r="AB40">
        <f t="shared" si="14"/>
        <v>75</v>
      </c>
      <c r="AC40">
        <f t="shared" si="15"/>
        <v>75</v>
      </c>
      <c r="AD40">
        <f t="shared" si="16"/>
        <v>125</v>
      </c>
    </row>
    <row r="41" spans="1:30" x14ac:dyDescent="0.25">
      <c r="A41" s="2" t="s">
        <v>74</v>
      </c>
      <c r="B41" s="9" t="s">
        <v>106</v>
      </c>
      <c r="C41" s="10" t="s">
        <v>107</v>
      </c>
      <c r="D41" s="10" t="str">
        <f>VLOOKUP(B41,[1]!Tabella1[[Codice]:[Descrizione]],2,FALSE)</f>
        <v>TRASCINATORE MOTORE MOLLA NICE P/ZEROGRADI</v>
      </c>
      <c r="E41" s="2" t="s">
        <v>77</v>
      </c>
      <c r="F41" s="2" t="s">
        <v>92</v>
      </c>
      <c r="G41" s="12">
        <v>50</v>
      </c>
      <c r="H41" s="2">
        <v>50</v>
      </c>
      <c r="I41" s="2">
        <v>50</v>
      </c>
      <c r="J41" s="13">
        <v>1.8</v>
      </c>
      <c r="K41" s="10">
        <v>1.8</v>
      </c>
      <c r="L41" s="51">
        <v>1.65</v>
      </c>
      <c r="M41" s="54">
        <f t="shared" si="11"/>
        <v>1.65</v>
      </c>
      <c r="Q41" s="54" t="e">
        <f>VLOOKUP(B41,Foglio1!AA:AD,2,FALSE)</f>
        <v>#N/A</v>
      </c>
      <c r="R41" s="54" t="e">
        <f>VLOOKUP(B41,Foglio1!AA:AE,5,FALSE)</f>
        <v>#N/A</v>
      </c>
      <c r="T41">
        <f t="shared" si="12"/>
        <v>825</v>
      </c>
      <c r="U41">
        <f t="shared" si="13"/>
        <v>825</v>
      </c>
      <c r="W41" s="10">
        <v>35</v>
      </c>
      <c r="Z41">
        <v>40</v>
      </c>
      <c r="AB41">
        <f t="shared" si="14"/>
        <v>90</v>
      </c>
      <c r="AC41">
        <f t="shared" si="15"/>
        <v>90</v>
      </c>
      <c r="AD41">
        <f t="shared" si="16"/>
        <v>82.5</v>
      </c>
    </row>
    <row r="42" spans="1:30" x14ac:dyDescent="0.25">
      <c r="A42" s="2" t="s">
        <v>74</v>
      </c>
      <c r="B42" s="9" t="s">
        <v>108</v>
      </c>
      <c r="C42" s="10" t="s">
        <v>109</v>
      </c>
      <c r="D42" s="10" t="str">
        <f>VLOOKUP(B42,[1]!Tabella1[[Codice]:[Descrizione]],2,FALSE)</f>
        <v>TRASCINATORE MOTORE MOLLA SOMFY P/ZEROGRADI</v>
      </c>
      <c r="E42" s="2" t="s">
        <v>77</v>
      </c>
      <c r="F42" s="2" t="s">
        <v>92</v>
      </c>
      <c r="G42" s="12">
        <v>50</v>
      </c>
      <c r="H42" s="2">
        <v>200</v>
      </c>
      <c r="I42" s="2">
        <v>500</v>
      </c>
      <c r="J42" s="13">
        <v>1.1399999999999999</v>
      </c>
      <c r="K42" s="10">
        <v>0.99</v>
      </c>
      <c r="L42" s="51">
        <v>0.87</v>
      </c>
      <c r="M42" s="54">
        <f t="shared" si="11"/>
        <v>0.87</v>
      </c>
      <c r="Q42" s="54" t="e">
        <f>VLOOKUP(B42,Foglio1!AA:AD,2,FALSE)</f>
        <v>#N/A</v>
      </c>
      <c r="R42" s="54" t="e">
        <f>VLOOKUP(B42,Foglio1!AA:AE,5,FALSE)</f>
        <v>#N/A</v>
      </c>
      <c r="T42">
        <f t="shared" si="12"/>
        <v>435</v>
      </c>
      <c r="U42">
        <f t="shared" si="13"/>
        <v>435</v>
      </c>
      <c r="W42" s="10">
        <v>35</v>
      </c>
      <c r="Z42">
        <v>40</v>
      </c>
      <c r="AB42">
        <f t="shared" si="14"/>
        <v>56.999999999999993</v>
      </c>
      <c r="AC42">
        <f t="shared" si="15"/>
        <v>198</v>
      </c>
      <c r="AD42">
        <f t="shared" si="16"/>
        <v>435</v>
      </c>
    </row>
    <row r="43" spans="1:30" x14ac:dyDescent="0.25">
      <c r="M43"/>
      <c r="N43"/>
      <c r="O43"/>
      <c r="P43"/>
      <c r="Q43" s="54" t="e">
        <f>VLOOKUP(B43,Foglio1!AA:AD,2,FALSE)</f>
        <v>#N/A</v>
      </c>
      <c r="R43" s="54" t="e">
        <f>VLOOKUP(B43,Foglio1!AA:AE,5,FALSE)</f>
        <v>#N/A</v>
      </c>
      <c r="AB43">
        <f>SUM(AB26:AB42)</f>
        <v>1536.2</v>
      </c>
      <c r="AC43">
        <f t="shared" ref="AC43:AD43" si="19">SUM(AC26:AC42)</f>
        <v>4095.9</v>
      </c>
      <c r="AD43">
        <f t="shared" si="19"/>
        <v>8496.5</v>
      </c>
    </row>
    <row r="44" spans="1:30" x14ac:dyDescent="0.25">
      <c r="E44" s="8"/>
      <c r="M44"/>
      <c r="N44"/>
      <c r="O44"/>
      <c r="P44"/>
      <c r="Q44" s="54" t="e">
        <f>VLOOKUP(B44,Foglio1!AA:AD,2,FALSE)</f>
        <v>#N/A</v>
      </c>
      <c r="R44" s="54" t="e">
        <f>VLOOKUP(B44,Foglio1!AA:AE,5,FALSE)</f>
        <v>#N/A</v>
      </c>
      <c r="AB44">
        <f>+AB43/50</f>
        <v>30.724</v>
      </c>
      <c r="AC44">
        <f>+AC43/200</f>
        <v>20.479500000000002</v>
      </c>
      <c r="AD44">
        <f>+AD43/500</f>
        <v>16.992999999999999</v>
      </c>
    </row>
    <row r="45" spans="1:30" ht="90" x14ac:dyDescent="0.25">
      <c r="A45" s="27" t="s">
        <v>110</v>
      </c>
      <c r="B45" s="1" t="s">
        <v>1</v>
      </c>
      <c r="C45" s="2" t="s">
        <v>2</v>
      </c>
      <c r="D45" s="10" t="e">
        <f>VLOOKUP(B45,[1]!Tabella1[[Codice]:[Descrizione]],2,FALSE)</f>
        <v>#N/A</v>
      </c>
      <c r="E45" s="3" t="s">
        <v>67</v>
      </c>
      <c r="F45" s="3" t="s">
        <v>5</v>
      </c>
      <c r="G45" s="3" t="s">
        <v>111</v>
      </c>
      <c r="H45" s="3" t="s">
        <v>112</v>
      </c>
      <c r="I45" s="3" t="s">
        <v>113</v>
      </c>
      <c r="J45" s="3" t="s">
        <v>114</v>
      </c>
      <c r="K45" s="3" t="s">
        <v>115</v>
      </c>
      <c r="L45" s="3" t="s">
        <v>116</v>
      </c>
      <c r="M45" s="4"/>
      <c r="N45" s="4"/>
      <c r="O45" s="4"/>
      <c r="P45" s="4"/>
      <c r="Q45" s="54" t="e">
        <f>VLOOKUP(B45,Foglio1!AA:AD,2,FALSE)</f>
        <v>#N/A</v>
      </c>
      <c r="R45" s="54" t="e">
        <f>VLOOKUP(B45,Foglio1!AA:AE,5,FALSE)</f>
        <v>#N/A</v>
      </c>
      <c r="T45" s="4"/>
      <c r="U45" s="4"/>
      <c r="V45" s="4"/>
      <c r="W45" s="5" t="s">
        <v>13</v>
      </c>
      <c r="Z45" s="7" t="s">
        <v>117</v>
      </c>
    </row>
    <row r="46" spans="1:30" x14ac:dyDescent="0.25">
      <c r="A46" s="10" t="s">
        <v>118</v>
      </c>
      <c r="B46" s="15" t="s">
        <v>119</v>
      </c>
      <c r="C46" s="10" t="s">
        <v>120</v>
      </c>
      <c r="D46" s="10" t="str">
        <f>VLOOKUP(B46,[1]!Tabella1[[Codice]:[Descrizione]],2,FALSE)</f>
        <v>AGGANCIO CINGHIOLO GUIDA SENZA ZIP ZEROGRADI</v>
      </c>
      <c r="E46" s="28" t="s">
        <v>121</v>
      </c>
      <c r="F46" s="10" t="s">
        <v>78</v>
      </c>
      <c r="G46" s="10">
        <v>100</v>
      </c>
      <c r="H46" s="10">
        <v>400</v>
      </c>
      <c r="I46" s="10">
        <v>1000</v>
      </c>
      <c r="J46" s="10">
        <v>0.94</v>
      </c>
      <c r="K46" s="10">
        <v>0.94</v>
      </c>
      <c r="L46" s="51">
        <v>0.76</v>
      </c>
      <c r="M46" s="54">
        <f t="shared" ref="M46:M51" si="20">+L46</f>
        <v>0.76</v>
      </c>
      <c r="N46" s="54">
        <v>0.23</v>
      </c>
      <c r="Q46" s="54" t="e">
        <f>VLOOKUP(B46,Foglio1!AA:AD,2,FALSE)</f>
        <v>#N/A</v>
      </c>
      <c r="R46" s="54" t="e">
        <f>VLOOKUP(B46,Foglio1!AA:AE,5,FALSE)</f>
        <v>#N/A</v>
      </c>
      <c r="T46">
        <f t="shared" ref="T46:T57" si="21">+M46*500</f>
        <v>380</v>
      </c>
      <c r="U46">
        <f t="shared" ref="U46:U57" si="22">+L46*500</f>
        <v>380</v>
      </c>
      <c r="W46" s="10"/>
      <c r="Z46">
        <v>50</v>
      </c>
      <c r="AB46">
        <f t="shared" ref="AB46:AB57" si="23">+J46*G46</f>
        <v>94</v>
      </c>
      <c r="AC46">
        <f t="shared" ref="AC46:AC57" si="24">+K46*H46</f>
        <v>376</v>
      </c>
      <c r="AD46">
        <f t="shared" ref="AD46:AD57" si="25">+L46*I46</f>
        <v>760</v>
      </c>
    </row>
    <row r="47" spans="1:30" x14ac:dyDescent="0.25">
      <c r="A47" s="10" t="s">
        <v>118</v>
      </c>
      <c r="B47" s="15" t="s">
        <v>122</v>
      </c>
      <c r="C47" s="10" t="s">
        <v>123</v>
      </c>
      <c r="D47" s="10" t="str">
        <f>VLOOKUP(B47,[1]!Tabella1[[Codice]:[Descrizione]],2,FALSE)</f>
        <v>BLOCCA TELO FRONTALE DX - CON ZIP ZEROGRADI</v>
      </c>
      <c r="E47" s="28" t="s">
        <v>121</v>
      </c>
      <c r="F47" s="10" t="s">
        <v>78</v>
      </c>
      <c r="G47" s="10">
        <v>50</v>
      </c>
      <c r="H47" s="10">
        <v>200</v>
      </c>
      <c r="I47" s="10">
        <v>500</v>
      </c>
      <c r="J47" s="10">
        <v>4.1689999999999996</v>
      </c>
      <c r="K47" s="10">
        <v>1.9735</v>
      </c>
      <c r="L47" s="51">
        <v>1.704</v>
      </c>
      <c r="M47" s="54">
        <f t="shared" si="20"/>
        <v>1.704</v>
      </c>
      <c r="N47" s="54">
        <v>0.25</v>
      </c>
      <c r="Q47" s="54" t="e">
        <f>VLOOKUP(B47,Foglio1!AA:AD,2,FALSE)</f>
        <v>#N/A</v>
      </c>
      <c r="R47" s="54" t="e">
        <f>VLOOKUP(B47,Foglio1!AA:AE,5,FALSE)</f>
        <v>#N/A</v>
      </c>
      <c r="T47">
        <f t="shared" si="21"/>
        <v>852</v>
      </c>
      <c r="U47">
        <f t="shared" si="22"/>
        <v>852</v>
      </c>
      <c r="W47" s="10"/>
      <c r="Z47">
        <v>50</v>
      </c>
      <c r="AB47">
        <f t="shared" si="23"/>
        <v>208.45</v>
      </c>
      <c r="AC47">
        <f t="shared" si="24"/>
        <v>394.7</v>
      </c>
      <c r="AD47">
        <f t="shared" si="25"/>
        <v>852</v>
      </c>
    </row>
    <row r="48" spans="1:30" x14ac:dyDescent="0.25">
      <c r="A48" s="10" t="s">
        <v>118</v>
      </c>
      <c r="B48" s="15" t="s">
        <v>124</v>
      </c>
      <c r="C48" s="10" t="s">
        <v>125</v>
      </c>
      <c r="D48" s="10" t="str">
        <f>VLOOKUP(B48,[1]!Tabella1[[Codice]:[Descrizione]],2,FALSE)</f>
        <v>BLOCCA TELO FRONTALE SX - CON ZIP ZEROGRADI</v>
      </c>
      <c r="E48" s="28" t="s">
        <v>121</v>
      </c>
      <c r="F48" s="10" t="s">
        <v>78</v>
      </c>
      <c r="G48" s="10">
        <v>50</v>
      </c>
      <c r="H48" s="10">
        <v>200</v>
      </c>
      <c r="I48" s="10">
        <v>500</v>
      </c>
      <c r="J48" s="10">
        <v>4.1689999999999996</v>
      </c>
      <c r="K48" s="10">
        <v>1.9735</v>
      </c>
      <c r="L48" s="51">
        <v>1.704</v>
      </c>
      <c r="M48" s="54">
        <f t="shared" si="20"/>
        <v>1.704</v>
      </c>
      <c r="N48" s="54">
        <v>0.25</v>
      </c>
      <c r="Q48" s="54" t="e">
        <f>VLOOKUP(B48,Foglio1!AA:AD,2,FALSE)</f>
        <v>#N/A</v>
      </c>
      <c r="R48" s="54" t="e">
        <f>VLOOKUP(B48,Foglio1!AA:AE,5,FALSE)</f>
        <v>#N/A</v>
      </c>
      <c r="T48">
        <f t="shared" si="21"/>
        <v>852</v>
      </c>
      <c r="U48">
        <f t="shared" si="22"/>
        <v>852</v>
      </c>
      <c r="W48" s="10"/>
      <c r="Z48">
        <v>50</v>
      </c>
      <c r="AB48">
        <f t="shared" si="23"/>
        <v>208.45</v>
      </c>
      <c r="AC48">
        <f t="shared" si="24"/>
        <v>394.7</v>
      </c>
      <c r="AD48">
        <f t="shared" si="25"/>
        <v>852</v>
      </c>
    </row>
    <row r="49" spans="1:31" x14ac:dyDescent="0.25">
      <c r="A49" s="10" t="s">
        <v>118</v>
      </c>
      <c r="B49" s="15" t="s">
        <v>126</v>
      </c>
      <c r="C49" s="10" t="s">
        <v>127</v>
      </c>
      <c r="D49" s="10" t="str">
        <f>VLOOKUP(B49,[1]!Tabella1[[Codice]:[Descrizione]],2,FALSE)</f>
        <v>COVER TESTATA DX ZEROGRADI</v>
      </c>
      <c r="E49" s="28" t="s">
        <v>121</v>
      </c>
      <c r="F49" s="10" t="s">
        <v>78</v>
      </c>
      <c r="G49" s="10">
        <v>50</v>
      </c>
      <c r="H49" s="10">
        <v>200</v>
      </c>
      <c r="I49" s="10">
        <v>500</v>
      </c>
      <c r="J49" s="10">
        <v>6.024</v>
      </c>
      <c r="K49" s="10">
        <v>3.524</v>
      </c>
      <c r="L49" s="51">
        <v>2.8239999999999998</v>
      </c>
      <c r="M49" s="54">
        <f t="shared" si="20"/>
        <v>2.8239999999999998</v>
      </c>
      <c r="N49" s="54">
        <v>0.28000000000000003</v>
      </c>
      <c r="Q49" s="54" t="e">
        <f>VLOOKUP(B49,Foglio1!AA:AD,2,FALSE)</f>
        <v>#N/A</v>
      </c>
      <c r="R49" s="54" t="e">
        <f>VLOOKUP(B49,Foglio1!AA:AE,5,FALSE)</f>
        <v>#N/A</v>
      </c>
      <c r="T49">
        <f t="shared" si="21"/>
        <v>1412</v>
      </c>
      <c r="U49">
        <f t="shared" si="22"/>
        <v>1412</v>
      </c>
      <c r="W49" s="10"/>
      <c r="Z49">
        <v>50</v>
      </c>
      <c r="AB49">
        <f t="shared" si="23"/>
        <v>301.2</v>
      </c>
      <c r="AC49">
        <f t="shared" si="24"/>
        <v>704.8</v>
      </c>
      <c r="AD49">
        <f t="shared" si="25"/>
        <v>1412</v>
      </c>
    </row>
    <row r="50" spans="1:31" x14ac:dyDescent="0.25">
      <c r="A50" s="10" t="s">
        <v>118</v>
      </c>
      <c r="B50" s="15" t="s">
        <v>128</v>
      </c>
      <c r="C50" s="10" t="s">
        <v>129</v>
      </c>
      <c r="D50" s="10" t="str">
        <f>VLOOKUP(B50,[1]!Tabella1[[Codice]:[Descrizione]],2,FALSE)</f>
        <v>COVER TESTATA SX ZEROGRADI</v>
      </c>
      <c r="E50" s="28" t="s">
        <v>121</v>
      </c>
      <c r="F50" s="10" t="s">
        <v>78</v>
      </c>
      <c r="G50" s="10">
        <v>50</v>
      </c>
      <c r="H50" s="10">
        <v>200</v>
      </c>
      <c r="I50" s="10">
        <v>500</v>
      </c>
      <c r="J50" s="10">
        <v>6.024</v>
      </c>
      <c r="K50" s="10">
        <v>3.524</v>
      </c>
      <c r="L50" s="51">
        <v>2.8239999999999998</v>
      </c>
      <c r="M50" s="54">
        <f t="shared" si="20"/>
        <v>2.8239999999999998</v>
      </c>
      <c r="N50" s="54">
        <v>0.28000000000000003</v>
      </c>
      <c r="Q50" s="54" t="e">
        <f>VLOOKUP(B50,Foglio1!AA:AD,2,FALSE)</f>
        <v>#N/A</v>
      </c>
      <c r="R50" s="54" t="e">
        <f>VLOOKUP(B50,Foglio1!AA:AE,5,FALSE)</f>
        <v>#N/A</v>
      </c>
      <c r="T50">
        <f t="shared" si="21"/>
        <v>1412</v>
      </c>
      <c r="U50">
        <f t="shared" si="22"/>
        <v>1412</v>
      </c>
      <c r="W50" s="10"/>
      <c r="Z50">
        <v>50</v>
      </c>
      <c r="AB50">
        <f t="shared" si="23"/>
        <v>301.2</v>
      </c>
      <c r="AC50">
        <f t="shared" si="24"/>
        <v>704.8</v>
      </c>
      <c r="AD50">
        <f t="shared" si="25"/>
        <v>1412</v>
      </c>
    </row>
    <row r="51" spans="1:31" x14ac:dyDescent="0.25">
      <c r="A51" s="10" t="s">
        <v>118</v>
      </c>
      <c r="B51" s="15" t="s">
        <v>130</v>
      </c>
      <c r="C51" s="10" t="s">
        <v>131</v>
      </c>
      <c r="D51" s="10" t="str">
        <f>VLOOKUP(B51,[1]!Tabella1[[Codice]:[Descrizione]],2,FALSE)</f>
        <v>TAPPINO FINITURA GUIDA ZIP ZEROGRADI</v>
      </c>
      <c r="E51" s="28" t="s">
        <v>121</v>
      </c>
      <c r="F51" s="10" t="s">
        <v>78</v>
      </c>
      <c r="G51" s="10">
        <v>100</v>
      </c>
      <c r="H51" s="10">
        <v>400</v>
      </c>
      <c r="I51" s="10">
        <v>900</v>
      </c>
      <c r="J51" s="10">
        <v>1.988</v>
      </c>
      <c r="K51" s="10">
        <v>0.90800000000000003</v>
      </c>
      <c r="L51" s="51">
        <v>0.78800000000000003</v>
      </c>
      <c r="M51" s="54">
        <f t="shared" si="20"/>
        <v>0.78800000000000003</v>
      </c>
      <c r="N51" s="54">
        <v>0.17</v>
      </c>
      <c r="Q51" s="54" t="e">
        <f>VLOOKUP(B51,Foglio1!AA:AD,2,FALSE)</f>
        <v>#N/A</v>
      </c>
      <c r="R51" s="54" t="e">
        <f>VLOOKUP(B51,Foglio1!AA:AE,5,FALSE)</f>
        <v>#N/A</v>
      </c>
      <c r="T51">
        <f t="shared" si="21"/>
        <v>394</v>
      </c>
      <c r="U51">
        <f t="shared" si="22"/>
        <v>394</v>
      </c>
      <c r="W51" s="10"/>
      <c r="Z51">
        <v>50</v>
      </c>
      <c r="AB51">
        <f t="shared" si="23"/>
        <v>198.8</v>
      </c>
      <c r="AC51">
        <f t="shared" si="24"/>
        <v>363.2</v>
      </c>
      <c r="AD51">
        <f t="shared" si="25"/>
        <v>709.2</v>
      </c>
    </row>
    <row r="52" spans="1:31" x14ac:dyDescent="0.25">
      <c r="A52" s="10" t="s">
        <v>118</v>
      </c>
      <c r="B52" s="15" t="s">
        <v>132</v>
      </c>
      <c r="C52" s="10" t="s">
        <v>133</v>
      </c>
      <c r="D52" s="10" t="str">
        <f>VLOOKUP(B52,[1]!Tabella1[[Codice]:[Descrizione]],2,FALSE)</f>
        <v>TAPPO CON ROCCHETTO GUIDA ZIP  ZEROGRADI</v>
      </c>
      <c r="E52" s="28" t="s">
        <v>121</v>
      </c>
      <c r="F52" s="10" t="s">
        <v>78</v>
      </c>
      <c r="G52" s="10">
        <v>100</v>
      </c>
      <c r="H52" s="10">
        <v>400</v>
      </c>
      <c r="I52" s="10">
        <v>900</v>
      </c>
      <c r="J52" s="10">
        <v>5.1449999999999996</v>
      </c>
      <c r="K52" s="51">
        <v>3.72</v>
      </c>
      <c r="L52" s="10">
        <v>3.37</v>
      </c>
      <c r="M52" s="54">
        <f>+K52</f>
        <v>3.72</v>
      </c>
      <c r="N52" s="54">
        <v>0.3</v>
      </c>
      <c r="Q52" s="54" t="e">
        <f>VLOOKUP(B52,Foglio1!AA:AD,2,FALSE)</f>
        <v>#N/A</v>
      </c>
      <c r="R52" s="54" t="e">
        <f>VLOOKUP(B52,Foglio1!AA:AE,5,FALSE)</f>
        <v>#N/A</v>
      </c>
      <c r="T52">
        <f t="shared" si="21"/>
        <v>1860</v>
      </c>
      <c r="U52">
        <f t="shared" si="22"/>
        <v>1685</v>
      </c>
      <c r="W52" s="10"/>
      <c r="Z52">
        <v>50</v>
      </c>
      <c r="AB52">
        <f t="shared" si="23"/>
        <v>514.5</v>
      </c>
      <c r="AC52">
        <f t="shared" si="24"/>
        <v>1488</v>
      </c>
      <c r="AD52">
        <f t="shared" si="25"/>
        <v>3033</v>
      </c>
    </row>
    <row r="53" spans="1:31" x14ac:dyDescent="0.25">
      <c r="A53" s="10" t="s">
        <v>118</v>
      </c>
      <c r="B53" s="15" t="s">
        <v>134</v>
      </c>
      <c r="C53" s="10" t="s">
        <v>135</v>
      </c>
      <c r="D53" s="10" t="str">
        <f>VLOOKUP(B53,[1]!Tabella1[[Codice]:[Descrizione]],2,FALSE)</f>
        <v>TAPPO CON ROCCHETTO SENZA ZIP  ZEROGRADI</v>
      </c>
      <c r="E53" s="28" t="s">
        <v>121</v>
      </c>
      <c r="F53" s="10" t="s">
        <v>78</v>
      </c>
      <c r="G53" s="10">
        <v>50</v>
      </c>
      <c r="H53" s="10">
        <v>50</v>
      </c>
      <c r="I53" s="10">
        <v>200</v>
      </c>
      <c r="J53" s="10">
        <v>15.37</v>
      </c>
      <c r="K53" s="51">
        <v>7.0250000000000004</v>
      </c>
      <c r="L53" s="10">
        <v>5.3949999999999996</v>
      </c>
      <c r="M53" s="54">
        <f>+K53</f>
        <v>7.0250000000000004</v>
      </c>
      <c r="N53" s="54">
        <v>0.5</v>
      </c>
      <c r="O53" s="54" t="s">
        <v>559</v>
      </c>
      <c r="Q53" s="54" t="e">
        <f>VLOOKUP(B53,Foglio1!AA:AD,2,FALSE)</f>
        <v>#N/A</v>
      </c>
      <c r="R53" s="54" t="e">
        <f>VLOOKUP(B53,Foglio1!AA:AE,5,FALSE)</f>
        <v>#N/A</v>
      </c>
      <c r="T53">
        <f t="shared" si="21"/>
        <v>3512.5</v>
      </c>
      <c r="U53">
        <f t="shared" si="22"/>
        <v>2697.5</v>
      </c>
      <c r="W53" s="10"/>
      <c r="Z53">
        <v>50</v>
      </c>
      <c r="AB53">
        <f t="shared" si="23"/>
        <v>768.5</v>
      </c>
      <c r="AC53">
        <f t="shared" si="24"/>
        <v>351.25</v>
      </c>
      <c r="AD53">
        <f t="shared" si="25"/>
        <v>1079</v>
      </c>
    </row>
    <row r="54" spans="1:31" x14ac:dyDescent="0.25">
      <c r="A54" s="10" t="s">
        <v>118</v>
      </c>
      <c r="B54" s="15" t="s">
        <v>136</v>
      </c>
      <c r="C54" s="10" t="s">
        <v>137</v>
      </c>
      <c r="D54" s="10" t="str">
        <f>VLOOKUP(B54,[1]!Tabella1[[Codice]:[Descrizione]],2,FALSE)</f>
        <v>TAPPO FRONTALE DX  ZEROGRADI</v>
      </c>
      <c r="E54" s="28" t="s">
        <v>121</v>
      </c>
      <c r="F54" s="10" t="s">
        <v>78</v>
      </c>
      <c r="G54" s="10">
        <v>50</v>
      </c>
      <c r="H54" s="10">
        <v>200</v>
      </c>
      <c r="I54" s="10">
        <v>500</v>
      </c>
      <c r="J54" s="10">
        <v>10.551</v>
      </c>
      <c r="K54" s="10">
        <v>6.2110000000000003</v>
      </c>
      <c r="L54" s="51">
        <v>5.2809999999999997</v>
      </c>
      <c r="M54" s="54">
        <f>+L54</f>
        <v>5.2809999999999997</v>
      </c>
      <c r="N54" s="54">
        <v>0.28999999999999998</v>
      </c>
      <c r="Q54" s="54" t="e">
        <f>VLOOKUP(B54,Foglio1!AA:AD,2,FALSE)</f>
        <v>#N/A</v>
      </c>
      <c r="R54" s="54" t="e">
        <f>VLOOKUP(B54,Foglio1!AA:AE,5,FALSE)</f>
        <v>#N/A</v>
      </c>
      <c r="T54">
        <f t="shared" si="21"/>
        <v>2640.5</v>
      </c>
      <c r="U54">
        <f t="shared" si="22"/>
        <v>2640.5</v>
      </c>
      <c r="W54" s="10"/>
      <c r="Z54">
        <v>50</v>
      </c>
      <c r="AB54">
        <f t="shared" si="23"/>
        <v>527.54999999999995</v>
      </c>
      <c r="AC54">
        <f t="shared" si="24"/>
        <v>1242.2</v>
      </c>
      <c r="AD54">
        <f t="shared" si="25"/>
        <v>2640.5</v>
      </c>
      <c r="AE54">
        <f>+K54*I54</f>
        <v>3105.5</v>
      </c>
    </row>
    <row r="55" spans="1:31" x14ac:dyDescent="0.25">
      <c r="A55" s="10" t="s">
        <v>118</v>
      </c>
      <c r="B55" s="15" t="s">
        <v>138</v>
      </c>
      <c r="C55" s="10" t="s">
        <v>139</v>
      </c>
      <c r="D55" s="10" t="str">
        <f>VLOOKUP(B55,[1]!Tabella1[[Codice]:[Descrizione]],2,FALSE)</f>
        <v>TAPPO FRONTALE SX  ZEROGRADI</v>
      </c>
      <c r="E55" s="28" t="s">
        <v>121</v>
      </c>
      <c r="F55" s="10" t="s">
        <v>78</v>
      </c>
      <c r="G55" s="10">
        <v>50</v>
      </c>
      <c r="H55" s="10">
        <v>200</v>
      </c>
      <c r="I55" s="10">
        <v>500</v>
      </c>
      <c r="J55" s="10">
        <v>10.551</v>
      </c>
      <c r="K55" s="10">
        <v>6.2110000000000003</v>
      </c>
      <c r="L55" s="51">
        <v>5.2809999999999997</v>
      </c>
      <c r="M55" s="54">
        <f>+L55</f>
        <v>5.2809999999999997</v>
      </c>
      <c r="N55" s="54">
        <v>0.28999999999999998</v>
      </c>
      <c r="Q55" s="54" t="e">
        <f>VLOOKUP(B55,Foglio1!AA:AD,2,FALSE)</f>
        <v>#N/A</v>
      </c>
      <c r="R55" s="54" t="e">
        <f>VLOOKUP(B55,Foglio1!AA:AE,5,FALSE)</f>
        <v>#N/A</v>
      </c>
      <c r="T55">
        <f t="shared" si="21"/>
        <v>2640.5</v>
      </c>
      <c r="U55">
        <f t="shared" si="22"/>
        <v>2640.5</v>
      </c>
      <c r="W55" s="10"/>
      <c r="Z55">
        <v>50</v>
      </c>
      <c r="AB55">
        <f t="shared" si="23"/>
        <v>527.54999999999995</v>
      </c>
      <c r="AC55">
        <f t="shared" si="24"/>
        <v>1242.2</v>
      </c>
      <c r="AD55">
        <f t="shared" si="25"/>
        <v>2640.5</v>
      </c>
      <c r="AE55">
        <f>+K55*I55</f>
        <v>3105.5</v>
      </c>
    </row>
    <row r="56" spans="1:31" x14ac:dyDescent="0.25">
      <c r="A56" s="10" t="s">
        <v>118</v>
      </c>
      <c r="B56" s="15" t="s">
        <v>140</v>
      </c>
      <c r="C56" s="10" t="s">
        <v>141</v>
      </c>
      <c r="D56" s="10" t="str">
        <f>VLOOKUP(B56,[1]!Tabella1[[Codice]:[Descrizione]],2,FALSE)</f>
        <v>TESTATA PORTANTE DX ZEROGRADI</v>
      </c>
      <c r="E56" s="28" t="s">
        <v>121</v>
      </c>
      <c r="F56" s="10" t="s">
        <v>78</v>
      </c>
      <c r="G56" s="10">
        <v>50</v>
      </c>
      <c r="H56" s="10">
        <v>200</v>
      </c>
      <c r="I56" s="10">
        <v>500</v>
      </c>
      <c r="J56" s="10">
        <v>17.568999999999999</v>
      </c>
      <c r="K56" s="10">
        <v>9.0060000000000002</v>
      </c>
      <c r="L56" s="51">
        <v>7.2690000000000001</v>
      </c>
      <c r="M56" s="54">
        <f>+L56</f>
        <v>7.2690000000000001</v>
      </c>
      <c r="N56" s="54">
        <v>1.3</v>
      </c>
      <c r="Q56" s="54" t="e">
        <f>VLOOKUP(B56,Foglio1!AA:AD,2,FALSE)</f>
        <v>#N/A</v>
      </c>
      <c r="R56" s="54" t="e">
        <f>VLOOKUP(B56,Foglio1!AA:AE,5,FALSE)</f>
        <v>#N/A</v>
      </c>
      <c r="T56">
        <f t="shared" si="21"/>
        <v>3634.5</v>
      </c>
      <c r="U56">
        <f t="shared" si="22"/>
        <v>3634.5</v>
      </c>
      <c r="W56" s="10"/>
      <c r="Z56">
        <v>50</v>
      </c>
      <c r="AB56">
        <f t="shared" si="23"/>
        <v>878.44999999999993</v>
      </c>
      <c r="AC56">
        <f t="shared" si="24"/>
        <v>1801.2</v>
      </c>
      <c r="AD56">
        <f t="shared" si="25"/>
        <v>3634.5</v>
      </c>
      <c r="AE56">
        <f>+K56*I56</f>
        <v>4503</v>
      </c>
    </row>
    <row r="57" spans="1:31" x14ac:dyDescent="0.25">
      <c r="A57" s="10" t="s">
        <v>118</v>
      </c>
      <c r="B57" s="15" t="s">
        <v>142</v>
      </c>
      <c r="C57" s="10" t="s">
        <v>143</v>
      </c>
      <c r="D57" s="10" t="str">
        <f>VLOOKUP(B57,[1]!Tabella1[[Codice]:[Descrizione]],2,FALSE)</f>
        <v>TESTATA PORTANTE SX ZEROGRADI</v>
      </c>
      <c r="E57" s="28" t="s">
        <v>121</v>
      </c>
      <c r="F57" s="10" t="s">
        <v>78</v>
      </c>
      <c r="G57" s="10">
        <v>50</v>
      </c>
      <c r="H57" s="10">
        <v>200</v>
      </c>
      <c r="I57" s="10">
        <v>500</v>
      </c>
      <c r="J57" s="10">
        <v>17.460999999999999</v>
      </c>
      <c r="K57" s="10">
        <v>9.0060000000000002</v>
      </c>
      <c r="L57" s="51">
        <v>7.1609999999999996</v>
      </c>
      <c r="M57" s="54">
        <f>+L57</f>
        <v>7.1609999999999996</v>
      </c>
      <c r="N57" s="54">
        <v>1.3</v>
      </c>
      <c r="Q57" s="54" t="e">
        <f>VLOOKUP(B57,Foglio1!AA:AD,2,FALSE)</f>
        <v>#N/A</v>
      </c>
      <c r="R57" s="54" t="e">
        <f>VLOOKUP(B57,Foglio1!AA:AE,5,FALSE)</f>
        <v>#N/A</v>
      </c>
      <c r="T57">
        <f t="shared" si="21"/>
        <v>3580.5</v>
      </c>
      <c r="U57">
        <f t="shared" si="22"/>
        <v>3580.5</v>
      </c>
      <c r="W57" s="10"/>
      <c r="Z57">
        <v>50</v>
      </c>
      <c r="AB57">
        <f t="shared" si="23"/>
        <v>873.05</v>
      </c>
      <c r="AC57">
        <f t="shared" si="24"/>
        <v>1801.2</v>
      </c>
      <c r="AD57">
        <f t="shared" si="25"/>
        <v>3580.5</v>
      </c>
      <c r="AE57">
        <f>+K57*I57</f>
        <v>4503</v>
      </c>
    </row>
    <row r="58" spans="1:31" x14ac:dyDescent="0.25">
      <c r="M58"/>
      <c r="N58"/>
      <c r="O58"/>
      <c r="P58"/>
      <c r="Q58" s="54" t="e">
        <f>VLOOKUP(B58,Foglio1!AA:AD,2,FALSE)</f>
        <v>#N/A</v>
      </c>
      <c r="R58" s="54" t="e">
        <f>VLOOKUP(B58,Foglio1!AA:AE,5,FALSE)</f>
        <v>#N/A</v>
      </c>
      <c r="AB58">
        <f>SUM(AB46:AB57)</f>
        <v>5401.7</v>
      </c>
      <c r="AC58">
        <f t="shared" ref="AC58:AD58" si="26">SUM(AC46:AC57)</f>
        <v>10864.25</v>
      </c>
      <c r="AD58">
        <f t="shared" si="26"/>
        <v>22605.200000000001</v>
      </c>
    </row>
    <row r="59" spans="1:31" x14ac:dyDescent="0.25">
      <c r="M59"/>
      <c r="N59"/>
      <c r="O59"/>
      <c r="P59"/>
      <c r="Q59" s="54" t="e">
        <f>VLOOKUP(B59,Foglio1!AA:AD,2,FALSE)</f>
        <v>#N/A</v>
      </c>
      <c r="R59" s="54" t="e">
        <f>VLOOKUP(B59,Foglio1!AA:AE,5,FALSE)</f>
        <v>#N/A</v>
      </c>
      <c r="AB59">
        <f>+AB58/50</f>
        <v>108.03399999999999</v>
      </c>
      <c r="AC59">
        <f>+AC58/200</f>
        <v>54.321249999999999</v>
      </c>
      <c r="AD59">
        <f>+AD58/500</f>
        <v>45.2104</v>
      </c>
    </row>
    <row r="60" spans="1:31" ht="90" x14ac:dyDescent="0.25">
      <c r="A60" s="27" t="s">
        <v>110</v>
      </c>
      <c r="B60" s="5" t="s">
        <v>144</v>
      </c>
      <c r="C60" s="5" t="s">
        <v>145</v>
      </c>
      <c r="D60" s="15" t="s">
        <v>3</v>
      </c>
      <c r="E60" t="s">
        <v>146</v>
      </c>
      <c r="F60" s="3" t="s">
        <v>5</v>
      </c>
      <c r="G60" s="3" t="s">
        <v>111</v>
      </c>
      <c r="H60" s="3" t="s">
        <v>112</v>
      </c>
      <c r="I60" s="3" t="s">
        <v>113</v>
      </c>
      <c r="J60" s="3" t="s">
        <v>114</v>
      </c>
      <c r="K60" s="3" t="s">
        <v>115</v>
      </c>
      <c r="L60" s="3" t="s">
        <v>116</v>
      </c>
      <c r="M60" s="3"/>
      <c r="N60" s="3"/>
      <c r="O60" s="3"/>
      <c r="P60" s="3"/>
      <c r="Q60" s="54" t="e">
        <f>VLOOKUP(B60,Foglio1!AA:AD,2,FALSE)</f>
        <v>#N/A</v>
      </c>
      <c r="R60" s="54" t="e">
        <f>VLOOKUP(B60,Foglio1!AA:AE,5,FALSE)</f>
        <v>#N/A</v>
      </c>
      <c r="T60" s="3"/>
      <c r="U60" s="3"/>
      <c r="V60" s="29" t="s">
        <v>147</v>
      </c>
      <c r="W60" s="5" t="s">
        <v>13</v>
      </c>
    </row>
    <row r="61" spans="1:31" x14ac:dyDescent="0.25">
      <c r="A61" s="10" t="s">
        <v>148</v>
      </c>
      <c r="B61" s="15" t="s">
        <v>149</v>
      </c>
      <c r="C61" s="10"/>
      <c r="D61" s="30" t="s">
        <v>150</v>
      </c>
      <c r="F61" s="10" t="s">
        <v>78</v>
      </c>
      <c r="G61" s="2">
        <v>180</v>
      </c>
      <c r="H61" s="2">
        <f>+G61*4</f>
        <v>720</v>
      </c>
      <c r="I61" s="2">
        <f>+G61*10</f>
        <v>1800</v>
      </c>
      <c r="J61" s="2">
        <v>7.4160000000000007E-3</v>
      </c>
      <c r="K61" s="2">
        <v>7.4160000000000007E-3</v>
      </c>
      <c r="L61" s="22">
        <v>7.4160000000000007E-3</v>
      </c>
      <c r="M61" s="54">
        <f t="shared" ref="M61:M77" si="27">+L61</f>
        <v>7.4160000000000007E-3</v>
      </c>
      <c r="Q61" s="54" t="e">
        <f>VLOOKUP(B61,Foglio1!AA:AD,2,FALSE)</f>
        <v>#N/A</v>
      </c>
      <c r="R61" s="54" t="e">
        <f>VLOOKUP(B61,Foglio1!AA:AE,5,FALSE)</f>
        <v>#N/A</v>
      </c>
      <c r="T61">
        <f t="shared" ref="T61:T124" si="28">+M61*500</f>
        <v>3.7080000000000002</v>
      </c>
      <c r="U61">
        <f t="shared" ref="U61:U92" si="29">+L61*500</f>
        <v>3.7080000000000002</v>
      </c>
      <c r="V61" s="2">
        <v>2000</v>
      </c>
      <c r="W61" s="2">
        <v>10</v>
      </c>
      <c r="X61" s="31" t="s">
        <v>151</v>
      </c>
      <c r="AA61" t="s">
        <v>152</v>
      </c>
      <c r="AB61">
        <f t="shared" ref="AB61:AB75" si="30">+V61*L61</f>
        <v>14.832000000000001</v>
      </c>
    </row>
    <row r="62" spans="1:31" x14ac:dyDescent="0.25">
      <c r="A62" s="10" t="s">
        <v>148</v>
      </c>
      <c r="B62" s="15" t="s">
        <v>153</v>
      </c>
      <c r="C62" s="10"/>
      <c r="D62" s="30" t="s">
        <v>154</v>
      </c>
      <c r="F62" s="10" t="s">
        <v>78</v>
      </c>
      <c r="G62" s="2">
        <v>12</v>
      </c>
      <c r="H62" s="2">
        <f>+G62*4</f>
        <v>48</v>
      </c>
      <c r="I62" s="2">
        <f>+G62*10</f>
        <v>120</v>
      </c>
      <c r="J62" s="2">
        <v>1.2565999999999999E-2</v>
      </c>
      <c r="K62" s="2">
        <v>1.2565999999999999E-2</v>
      </c>
      <c r="L62" s="22">
        <v>1.2565999999999999E-2</v>
      </c>
      <c r="M62" s="54">
        <f t="shared" si="27"/>
        <v>1.2565999999999999E-2</v>
      </c>
      <c r="Q62" s="54" t="e">
        <f>VLOOKUP(B62,Foglio1!AA:AD,2,FALSE)</f>
        <v>#N/A</v>
      </c>
      <c r="R62" s="54" t="e">
        <f>VLOOKUP(B62,Foglio1!AA:AE,5,FALSE)</f>
        <v>#N/A</v>
      </c>
      <c r="T62">
        <f t="shared" si="28"/>
        <v>6.2829999999999995</v>
      </c>
      <c r="U62">
        <f t="shared" si="29"/>
        <v>6.2829999999999995</v>
      </c>
      <c r="V62" s="2">
        <v>200</v>
      </c>
      <c r="W62" s="2">
        <v>10</v>
      </c>
      <c r="X62" s="31" t="s">
        <v>155</v>
      </c>
      <c r="AA62" t="s">
        <v>152</v>
      </c>
      <c r="AB62">
        <f t="shared" si="30"/>
        <v>2.5131999999999999</v>
      </c>
    </row>
    <row r="63" spans="1:31" x14ac:dyDescent="0.25">
      <c r="A63" s="10" t="s">
        <v>148</v>
      </c>
      <c r="B63" s="15" t="s">
        <v>156</v>
      </c>
      <c r="C63" s="10"/>
      <c r="D63" s="32" t="s">
        <v>157</v>
      </c>
      <c r="F63" s="10" t="s">
        <v>78</v>
      </c>
      <c r="G63" s="2">
        <v>3</v>
      </c>
      <c r="H63" s="2">
        <f>+G63*4</f>
        <v>12</v>
      </c>
      <c r="I63" s="2">
        <f>+G63*10</f>
        <v>30</v>
      </c>
      <c r="J63" s="2">
        <v>6.7979999999999999E-2</v>
      </c>
      <c r="K63" s="2">
        <v>6.7979999999999999E-2</v>
      </c>
      <c r="L63" s="22">
        <v>6.7979999999999999E-2</v>
      </c>
      <c r="M63" s="54">
        <f t="shared" si="27"/>
        <v>6.7979999999999999E-2</v>
      </c>
      <c r="Q63" s="54" t="e">
        <f>VLOOKUP(B63,Foglio1!AA:AD,2,FALSE)</f>
        <v>#N/A</v>
      </c>
      <c r="R63" s="54" t="e">
        <f>VLOOKUP(B63,Foglio1!AA:AE,5,FALSE)</f>
        <v>#N/A</v>
      </c>
      <c r="T63">
        <f t="shared" si="28"/>
        <v>33.99</v>
      </c>
      <c r="U63">
        <f t="shared" si="29"/>
        <v>33.99</v>
      </c>
      <c r="V63" s="2">
        <v>1000</v>
      </c>
      <c r="W63" s="2">
        <v>10</v>
      </c>
      <c r="AB63">
        <f t="shared" si="30"/>
        <v>67.98</v>
      </c>
    </row>
    <row r="64" spans="1:31" x14ac:dyDescent="0.25">
      <c r="A64" s="10" t="s">
        <v>148</v>
      </c>
      <c r="B64" s="15" t="s">
        <v>158</v>
      </c>
      <c r="C64" s="10" t="s">
        <v>159</v>
      </c>
      <c r="D64" s="32" t="s">
        <v>160</v>
      </c>
      <c r="F64" s="10" t="s">
        <v>78</v>
      </c>
      <c r="G64" s="2">
        <v>3</v>
      </c>
      <c r="H64" s="2">
        <f>+G64*4</f>
        <v>12</v>
      </c>
      <c r="I64" s="2">
        <f>+G64*10</f>
        <v>30</v>
      </c>
      <c r="J64" s="2">
        <v>0.1449</v>
      </c>
      <c r="K64" s="2">
        <v>0.1449</v>
      </c>
      <c r="L64" s="22">
        <v>0.1449</v>
      </c>
      <c r="M64" s="54">
        <f t="shared" si="27"/>
        <v>0.1449</v>
      </c>
      <c r="Q64" s="54" t="e">
        <f>VLOOKUP(B64,Foglio1!AA:AD,2,FALSE)</f>
        <v>#N/A</v>
      </c>
      <c r="R64" s="54" t="e">
        <f>VLOOKUP(B64,Foglio1!AA:AE,5,FALSE)</f>
        <v>#N/A</v>
      </c>
      <c r="T64">
        <f t="shared" si="28"/>
        <v>72.45</v>
      </c>
      <c r="U64">
        <f t="shared" si="29"/>
        <v>72.45</v>
      </c>
      <c r="V64" s="23">
        <v>100</v>
      </c>
      <c r="W64" s="2">
        <v>10</v>
      </c>
      <c r="X64" t="s">
        <v>161</v>
      </c>
      <c r="Y64" t="s">
        <v>162</v>
      </c>
      <c r="AB64">
        <f t="shared" si="30"/>
        <v>14.49</v>
      </c>
    </row>
    <row r="65" spans="1:28" x14ac:dyDescent="0.25">
      <c r="A65" s="10" t="s">
        <v>148</v>
      </c>
      <c r="B65" s="15" t="s">
        <v>163</v>
      </c>
      <c r="C65" s="10" t="s">
        <v>164</v>
      </c>
      <c r="D65" s="32" t="s">
        <v>165</v>
      </c>
      <c r="F65" s="10" t="s">
        <v>78</v>
      </c>
      <c r="G65" s="2">
        <v>215</v>
      </c>
      <c r="H65" s="2">
        <f>+G65*4</f>
        <v>860</v>
      </c>
      <c r="I65" s="2">
        <f>+G65*10</f>
        <v>2150</v>
      </c>
      <c r="J65" s="2">
        <v>4.9439999999999998E-2</v>
      </c>
      <c r="K65" s="2">
        <v>4.9439999999999998E-2</v>
      </c>
      <c r="L65" s="22">
        <v>4.9439999999999998E-2</v>
      </c>
      <c r="M65" s="54">
        <f t="shared" si="27"/>
        <v>4.9439999999999998E-2</v>
      </c>
      <c r="Q65" s="54" t="e">
        <f>VLOOKUP(B65,Foglio1!AA:AD,2,FALSE)</f>
        <v>#N/A</v>
      </c>
      <c r="R65" s="54" t="e">
        <f>VLOOKUP(B65,Foglio1!AA:AE,5,FALSE)</f>
        <v>#N/A</v>
      </c>
      <c r="T65">
        <f t="shared" si="28"/>
        <v>24.72</v>
      </c>
      <c r="U65">
        <f t="shared" si="29"/>
        <v>24.72</v>
      </c>
      <c r="V65" s="23">
        <v>200</v>
      </c>
      <c r="W65" s="2">
        <v>10</v>
      </c>
      <c r="X65" t="s">
        <v>166</v>
      </c>
      <c r="Y65" t="s">
        <v>162</v>
      </c>
      <c r="AB65">
        <f t="shared" si="30"/>
        <v>9.8879999999999999</v>
      </c>
    </row>
    <row r="66" spans="1:28" x14ac:dyDescent="0.25">
      <c r="A66" s="10" t="s">
        <v>148</v>
      </c>
      <c r="B66" s="15" t="s">
        <v>167</v>
      </c>
      <c r="C66" s="10" t="s">
        <v>168</v>
      </c>
      <c r="D66" s="32" t="s">
        <v>169</v>
      </c>
      <c r="F66" s="10" t="s">
        <v>78</v>
      </c>
      <c r="G66" s="2">
        <v>130</v>
      </c>
      <c r="H66" s="2">
        <f t="shared" ref="H66:H69" si="31">+G66*4</f>
        <v>520</v>
      </c>
      <c r="I66" s="2">
        <f t="shared" ref="I66:I72" si="32">+G66*10</f>
        <v>1300</v>
      </c>
      <c r="J66" s="2">
        <v>2.9664000000000003E-2</v>
      </c>
      <c r="K66" s="2">
        <v>2.9664000000000003E-2</v>
      </c>
      <c r="L66" s="22">
        <v>2.9664000000000003E-2</v>
      </c>
      <c r="M66" s="54">
        <f t="shared" si="27"/>
        <v>2.9664000000000003E-2</v>
      </c>
      <c r="Q66" s="54" t="e">
        <f>VLOOKUP(B66,Foglio1!AA:AD,2,FALSE)</f>
        <v>#N/A</v>
      </c>
      <c r="R66" s="54" t="e">
        <f>VLOOKUP(B66,Foglio1!AA:AE,5,FALSE)</f>
        <v>#N/A</v>
      </c>
      <c r="T66">
        <f t="shared" si="28"/>
        <v>14.832000000000001</v>
      </c>
      <c r="U66">
        <f t="shared" si="29"/>
        <v>14.832000000000001</v>
      </c>
      <c r="V66" s="2">
        <v>1400</v>
      </c>
      <c r="W66" s="2">
        <v>10</v>
      </c>
      <c r="AB66">
        <f t="shared" si="30"/>
        <v>41.529600000000002</v>
      </c>
    </row>
    <row r="67" spans="1:28" x14ac:dyDescent="0.25">
      <c r="A67" s="10" t="s">
        <v>148</v>
      </c>
      <c r="B67" s="15" t="s">
        <v>170</v>
      </c>
      <c r="C67" s="10" t="s">
        <v>171</v>
      </c>
      <c r="D67" s="32" t="s">
        <v>172</v>
      </c>
      <c r="F67" s="10" t="s">
        <v>78</v>
      </c>
      <c r="G67" s="2">
        <v>15</v>
      </c>
      <c r="H67" s="2">
        <f t="shared" si="31"/>
        <v>60</v>
      </c>
      <c r="I67" s="2">
        <f t="shared" si="32"/>
        <v>150</v>
      </c>
      <c r="J67" s="2">
        <v>5.253E-2</v>
      </c>
      <c r="K67" s="2">
        <v>5.253E-2</v>
      </c>
      <c r="L67" s="22">
        <v>5.253E-2</v>
      </c>
      <c r="M67" s="54">
        <f t="shared" si="27"/>
        <v>5.253E-2</v>
      </c>
      <c r="Q67" s="54" t="e">
        <f>VLOOKUP(B67,Foglio1!AA:AD,2,FALSE)</f>
        <v>#N/A</v>
      </c>
      <c r="R67" s="54" t="e">
        <f>VLOOKUP(B67,Foglio1!AA:AE,5,FALSE)</f>
        <v>#N/A</v>
      </c>
      <c r="T67">
        <f t="shared" si="28"/>
        <v>26.265000000000001</v>
      </c>
      <c r="U67">
        <f t="shared" si="29"/>
        <v>26.265000000000001</v>
      </c>
      <c r="V67" s="2">
        <v>150</v>
      </c>
      <c r="W67" s="2">
        <v>10</v>
      </c>
      <c r="AB67">
        <f t="shared" si="30"/>
        <v>7.8795000000000002</v>
      </c>
    </row>
    <row r="68" spans="1:28" x14ac:dyDescent="0.25">
      <c r="A68" s="10" t="s">
        <v>148</v>
      </c>
      <c r="B68" s="15" t="s">
        <v>173</v>
      </c>
      <c r="C68" s="10" t="s">
        <v>174</v>
      </c>
      <c r="D68" s="32" t="s">
        <v>175</v>
      </c>
      <c r="F68" s="10" t="s">
        <v>78</v>
      </c>
      <c r="G68" s="2">
        <v>158</v>
      </c>
      <c r="H68" s="2">
        <f t="shared" si="31"/>
        <v>632</v>
      </c>
      <c r="I68" s="2">
        <f t="shared" si="32"/>
        <v>1580</v>
      </c>
      <c r="J68" s="2">
        <v>9.0640000000000009E-3</v>
      </c>
      <c r="K68" s="2">
        <v>9.0640000000000009E-3</v>
      </c>
      <c r="L68" s="22">
        <v>9.0640000000000009E-3</v>
      </c>
      <c r="M68" s="54">
        <f t="shared" si="27"/>
        <v>9.0640000000000009E-3</v>
      </c>
      <c r="Q68" s="54" t="e">
        <f>VLOOKUP(B68,Foglio1!AA:AD,2,FALSE)</f>
        <v>#N/A</v>
      </c>
      <c r="R68" s="54" t="e">
        <f>VLOOKUP(B68,Foglio1!AA:AE,5,FALSE)</f>
        <v>#N/A</v>
      </c>
      <c r="T68">
        <f t="shared" si="28"/>
        <v>4.532</v>
      </c>
      <c r="U68">
        <f t="shared" si="29"/>
        <v>4.532</v>
      </c>
      <c r="V68" s="2">
        <v>2000</v>
      </c>
      <c r="W68" s="2">
        <v>10</v>
      </c>
      <c r="AB68">
        <f t="shared" si="30"/>
        <v>18.128</v>
      </c>
    </row>
    <row r="69" spans="1:28" x14ac:dyDescent="0.25">
      <c r="A69" s="10" t="s">
        <v>148</v>
      </c>
      <c r="B69" s="15" t="s">
        <v>176</v>
      </c>
      <c r="C69" s="10" t="s">
        <v>174</v>
      </c>
      <c r="D69" s="32" t="s">
        <v>177</v>
      </c>
      <c r="F69" s="10" t="s">
        <v>78</v>
      </c>
      <c r="G69" s="2">
        <v>800</v>
      </c>
      <c r="H69" s="2">
        <f t="shared" si="31"/>
        <v>3200</v>
      </c>
      <c r="I69" s="2">
        <f t="shared" si="32"/>
        <v>8000</v>
      </c>
      <c r="J69" s="2">
        <v>2.98E-2</v>
      </c>
      <c r="K69" s="2">
        <v>2.98E-2</v>
      </c>
      <c r="L69" s="22">
        <v>2.98E-2</v>
      </c>
      <c r="M69" s="54">
        <f t="shared" si="27"/>
        <v>2.98E-2</v>
      </c>
      <c r="Q69" s="54" t="e">
        <f>VLOOKUP(B69,Foglio1!AA:AD,2,FALSE)</f>
        <v>#N/A</v>
      </c>
      <c r="R69" s="54" t="e">
        <f>VLOOKUP(B69,Foglio1!AA:AE,5,FALSE)</f>
        <v>#N/A</v>
      </c>
      <c r="T69">
        <f t="shared" si="28"/>
        <v>14.9</v>
      </c>
      <c r="U69">
        <f t="shared" si="29"/>
        <v>14.9</v>
      </c>
      <c r="V69" s="23">
        <v>500</v>
      </c>
      <c r="W69" s="2">
        <v>10</v>
      </c>
      <c r="X69" s="33" t="s">
        <v>178</v>
      </c>
      <c r="Y69" t="s">
        <v>162</v>
      </c>
      <c r="AB69">
        <f t="shared" si="30"/>
        <v>14.9</v>
      </c>
    </row>
    <row r="70" spans="1:28" x14ac:dyDescent="0.25">
      <c r="A70" s="10" t="s">
        <v>148</v>
      </c>
      <c r="B70" s="15" t="s">
        <v>179</v>
      </c>
      <c r="C70" s="10" t="s">
        <v>171</v>
      </c>
      <c r="D70" s="32" t="s">
        <v>180</v>
      </c>
      <c r="F70" s="10" t="s">
        <v>92</v>
      </c>
      <c r="G70" s="2">
        <v>100</v>
      </c>
      <c r="H70" s="2">
        <v>400</v>
      </c>
      <c r="I70" s="2">
        <f t="shared" si="32"/>
        <v>1000</v>
      </c>
      <c r="J70" s="2">
        <v>0.1611744</v>
      </c>
      <c r="K70" s="2">
        <v>0.1611744</v>
      </c>
      <c r="L70" s="22">
        <v>0.1611744</v>
      </c>
      <c r="M70" s="54">
        <f t="shared" si="27"/>
        <v>0.1611744</v>
      </c>
      <c r="Q70" s="54" t="e">
        <f>VLOOKUP(B70,Foglio1!AA:AD,2,FALSE)</f>
        <v>#N/A</v>
      </c>
      <c r="R70" s="54" t="e">
        <f>VLOOKUP(B70,Foglio1!AA:AE,5,FALSE)</f>
        <v>#N/A</v>
      </c>
      <c r="T70">
        <f t="shared" si="28"/>
        <v>80.587199999999996</v>
      </c>
      <c r="U70">
        <f t="shared" si="29"/>
        <v>80.587199999999996</v>
      </c>
      <c r="V70" s="23">
        <v>1000</v>
      </c>
      <c r="W70" s="2">
        <v>10</v>
      </c>
      <c r="Y70" t="s">
        <v>162</v>
      </c>
      <c r="AB70">
        <f t="shared" si="30"/>
        <v>161.17439999999999</v>
      </c>
    </row>
    <row r="71" spans="1:28" x14ac:dyDescent="0.25">
      <c r="A71" s="10" t="s">
        <v>148</v>
      </c>
      <c r="B71" s="15" t="s">
        <v>181</v>
      </c>
      <c r="C71" s="10" t="s">
        <v>182</v>
      </c>
      <c r="D71" s="32" t="s">
        <v>183</v>
      </c>
      <c r="F71" s="10" t="s">
        <v>92</v>
      </c>
      <c r="G71" s="2">
        <v>50</v>
      </c>
      <c r="H71" s="2">
        <v>200</v>
      </c>
      <c r="I71" s="2">
        <f t="shared" si="32"/>
        <v>500</v>
      </c>
      <c r="J71" s="2">
        <v>3.0488000000000005E-2</v>
      </c>
      <c r="K71" s="2">
        <v>3.0488000000000005E-2</v>
      </c>
      <c r="L71" s="22">
        <v>3.0488000000000005E-2</v>
      </c>
      <c r="M71" s="54">
        <f t="shared" si="27"/>
        <v>3.0488000000000005E-2</v>
      </c>
      <c r="Q71" s="54" t="e">
        <f>VLOOKUP(B71,Foglio1!AA:AD,2,FALSE)</f>
        <v>#N/A</v>
      </c>
      <c r="R71" s="54" t="e">
        <f>VLOOKUP(B71,Foglio1!AA:AE,5,FALSE)</f>
        <v>#N/A</v>
      </c>
      <c r="T71">
        <f t="shared" si="28"/>
        <v>15.244000000000002</v>
      </c>
      <c r="U71">
        <f t="shared" si="29"/>
        <v>15.244000000000002</v>
      </c>
      <c r="V71" s="2">
        <v>500</v>
      </c>
      <c r="W71" s="2">
        <v>10</v>
      </c>
      <c r="AB71">
        <f t="shared" si="30"/>
        <v>15.244000000000002</v>
      </c>
    </row>
    <row r="72" spans="1:28" x14ac:dyDescent="0.25">
      <c r="A72" s="10" t="s">
        <v>148</v>
      </c>
      <c r="B72" s="15" t="s">
        <v>184</v>
      </c>
      <c r="C72" s="10" t="s">
        <v>185</v>
      </c>
      <c r="D72" s="32" t="s">
        <v>186</v>
      </c>
      <c r="F72" s="10" t="s">
        <v>92</v>
      </c>
      <c r="G72" s="2">
        <v>400</v>
      </c>
      <c r="H72" s="2">
        <v>1600</v>
      </c>
      <c r="I72" s="2">
        <f t="shared" si="32"/>
        <v>4000</v>
      </c>
      <c r="J72" s="2">
        <v>2.1259200000000002E-2</v>
      </c>
      <c r="K72" s="2">
        <v>2.1259200000000002E-2</v>
      </c>
      <c r="L72" s="22">
        <v>2.1259200000000002E-2</v>
      </c>
      <c r="M72" s="54">
        <f t="shared" si="27"/>
        <v>2.1259200000000002E-2</v>
      </c>
      <c r="Q72" s="54" t="e">
        <f>VLOOKUP(B72,Foglio1!AA:AD,2,FALSE)</f>
        <v>#N/A</v>
      </c>
      <c r="R72" s="54" t="e">
        <f>VLOOKUP(B72,Foglio1!AA:AE,5,FALSE)</f>
        <v>#N/A</v>
      </c>
      <c r="T72">
        <f t="shared" si="28"/>
        <v>10.629600000000002</v>
      </c>
      <c r="U72">
        <f t="shared" si="29"/>
        <v>10.629600000000002</v>
      </c>
      <c r="V72" s="2">
        <v>4000</v>
      </c>
      <c r="W72" s="2">
        <v>10</v>
      </c>
      <c r="AB72">
        <f t="shared" si="30"/>
        <v>85.036800000000014</v>
      </c>
    </row>
    <row r="73" spans="1:28" x14ac:dyDescent="0.25">
      <c r="A73" s="10" t="s">
        <v>148</v>
      </c>
      <c r="B73" s="15" t="s">
        <v>187</v>
      </c>
      <c r="C73" s="10"/>
      <c r="D73" s="32" t="s">
        <v>188</v>
      </c>
      <c r="F73" s="10" t="s">
        <v>78</v>
      </c>
      <c r="G73" s="2"/>
      <c r="H73" s="2">
        <v>800</v>
      </c>
      <c r="I73" s="2"/>
      <c r="J73" s="2">
        <v>0.34399999999999997</v>
      </c>
      <c r="K73" s="2">
        <v>0.34399999999999997</v>
      </c>
      <c r="L73" s="22">
        <v>0.34399999999999997</v>
      </c>
      <c r="M73" s="54">
        <f t="shared" si="27"/>
        <v>0.34399999999999997</v>
      </c>
      <c r="Q73" s="54" t="e">
        <f>VLOOKUP(B73,Foglio1!AA:AD,2,FALSE)</f>
        <v>#N/A</v>
      </c>
      <c r="R73" s="54" t="e">
        <f>VLOOKUP(B73,Foglio1!AA:AE,5,FALSE)</f>
        <v>#N/A</v>
      </c>
      <c r="T73">
        <f t="shared" si="28"/>
        <v>172</v>
      </c>
      <c r="U73">
        <f t="shared" si="29"/>
        <v>172</v>
      </c>
      <c r="V73" s="23">
        <v>1000</v>
      </c>
      <c r="W73" s="2">
        <v>15</v>
      </c>
      <c r="Y73" t="s">
        <v>162</v>
      </c>
      <c r="AB73">
        <f t="shared" si="30"/>
        <v>344</v>
      </c>
    </row>
    <row r="74" spans="1:28" x14ac:dyDescent="0.25">
      <c r="A74" s="10" t="s">
        <v>148</v>
      </c>
      <c r="B74" s="15" t="s">
        <v>189</v>
      </c>
      <c r="C74" s="10" t="s">
        <v>190</v>
      </c>
      <c r="D74" s="32"/>
      <c r="F74" s="10" t="s">
        <v>78</v>
      </c>
      <c r="G74" s="2"/>
      <c r="H74" s="2">
        <v>800</v>
      </c>
      <c r="I74" s="2"/>
      <c r="J74" s="2">
        <v>2.12E-2</v>
      </c>
      <c r="K74" s="2">
        <v>2.12E-2</v>
      </c>
      <c r="L74" s="22">
        <v>2.12E-2</v>
      </c>
      <c r="M74" s="54">
        <f t="shared" si="27"/>
        <v>2.12E-2</v>
      </c>
      <c r="Q74" s="54" t="e">
        <f>VLOOKUP(B74,Foglio1!AA:AD,2,FALSE)</f>
        <v>#N/A</v>
      </c>
      <c r="R74" s="54" t="e">
        <f>VLOOKUP(B74,Foglio1!AA:AE,5,FALSE)</f>
        <v>#N/A</v>
      </c>
      <c r="T74">
        <f t="shared" si="28"/>
        <v>10.6</v>
      </c>
      <c r="U74">
        <f t="shared" si="29"/>
        <v>10.6</v>
      </c>
      <c r="V74" s="2">
        <v>800</v>
      </c>
      <c r="W74" s="2">
        <v>10</v>
      </c>
      <c r="AB74">
        <f t="shared" si="30"/>
        <v>16.96</v>
      </c>
    </row>
    <row r="75" spans="1:28" x14ac:dyDescent="0.25">
      <c r="A75" s="10" t="s">
        <v>148</v>
      </c>
      <c r="B75" s="15" t="s">
        <v>191</v>
      </c>
      <c r="C75" s="10"/>
      <c r="D75" s="32" t="s">
        <v>192</v>
      </c>
      <c r="F75" s="10" t="s">
        <v>78</v>
      </c>
      <c r="G75" s="2"/>
      <c r="H75" s="2">
        <v>400</v>
      </c>
      <c r="I75" s="2"/>
      <c r="J75" s="2">
        <v>2.12E-2</v>
      </c>
      <c r="K75" s="2">
        <v>2.12E-2</v>
      </c>
      <c r="L75" s="22">
        <v>2.12E-2</v>
      </c>
      <c r="M75" s="54">
        <f t="shared" si="27"/>
        <v>2.12E-2</v>
      </c>
      <c r="Q75" s="54" t="e">
        <f>VLOOKUP(B75,Foglio1!AA:AD,2,FALSE)</f>
        <v>#N/A</v>
      </c>
      <c r="R75" s="54" t="e">
        <f>VLOOKUP(B75,Foglio1!AA:AE,5,FALSE)</f>
        <v>#N/A</v>
      </c>
      <c r="T75">
        <f t="shared" si="28"/>
        <v>10.6</v>
      </c>
      <c r="U75">
        <f t="shared" si="29"/>
        <v>10.6</v>
      </c>
      <c r="V75" s="2">
        <v>500</v>
      </c>
      <c r="W75" s="2">
        <v>10</v>
      </c>
      <c r="AB75">
        <f t="shared" si="30"/>
        <v>10.6</v>
      </c>
    </row>
    <row r="76" spans="1:28" x14ac:dyDescent="0.25">
      <c r="A76" s="10" t="s">
        <v>148</v>
      </c>
      <c r="B76" s="34" t="s">
        <v>193</v>
      </c>
      <c r="D76" s="35"/>
      <c r="E76" t="s">
        <v>194</v>
      </c>
      <c r="F76" s="10" t="s">
        <v>78</v>
      </c>
      <c r="G76" s="8" t="s">
        <v>195</v>
      </c>
      <c r="H76" s="8"/>
      <c r="I76" s="8"/>
      <c r="J76" s="8"/>
      <c r="K76" s="8"/>
      <c r="L76" s="52">
        <v>0.11</v>
      </c>
      <c r="M76" s="54">
        <f t="shared" si="27"/>
        <v>0.11</v>
      </c>
      <c r="Q76" s="54" t="e">
        <f>VLOOKUP(B76,Foglio1!AA:AD,2,FALSE)</f>
        <v>#N/A</v>
      </c>
      <c r="R76" s="54" t="e">
        <f>VLOOKUP(B76,Foglio1!AA:AE,5,FALSE)</f>
        <v>#N/A</v>
      </c>
      <c r="T76">
        <f t="shared" si="28"/>
        <v>55</v>
      </c>
      <c r="U76">
        <f t="shared" si="29"/>
        <v>55</v>
      </c>
      <c r="V76" s="8"/>
      <c r="W76" s="8"/>
      <c r="AB76">
        <f>SUM(AB61:AB75)</f>
        <v>825.15550000000019</v>
      </c>
    </row>
    <row r="77" spans="1:28" x14ac:dyDescent="0.25">
      <c r="A77" s="10" t="s">
        <v>148</v>
      </c>
      <c r="B77" s="34" t="s">
        <v>196</v>
      </c>
      <c r="D77" s="35"/>
      <c r="E77" t="s">
        <v>194</v>
      </c>
      <c r="F77" s="10" t="s">
        <v>78</v>
      </c>
      <c r="G77" s="8" t="s">
        <v>195</v>
      </c>
      <c r="H77" s="8"/>
      <c r="I77" s="8"/>
      <c r="J77" s="8"/>
      <c r="K77" s="8"/>
      <c r="L77" s="52">
        <v>4.8000000000000001E-2</v>
      </c>
      <c r="M77" s="54">
        <f t="shared" si="27"/>
        <v>4.8000000000000001E-2</v>
      </c>
      <c r="Q77" s="54" t="e">
        <f>VLOOKUP(B77,Foglio1!AA:AD,2,FALSE)</f>
        <v>#N/A</v>
      </c>
      <c r="R77" s="54" t="e">
        <f>VLOOKUP(B77,Foglio1!AA:AE,5,FALSE)</f>
        <v>#N/A</v>
      </c>
      <c r="T77">
        <f t="shared" si="28"/>
        <v>24</v>
      </c>
      <c r="U77">
        <f t="shared" si="29"/>
        <v>24</v>
      </c>
      <c r="V77" s="8"/>
      <c r="W77" s="8"/>
    </row>
    <row r="78" spans="1:28" x14ac:dyDescent="0.25">
      <c r="B78" s="34"/>
      <c r="D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54" t="e">
        <f>VLOOKUP(B78,Foglio1!AA:AD,2,FALSE)</f>
        <v>#N/A</v>
      </c>
      <c r="R78" s="54" t="e">
        <f>VLOOKUP(B78,Foglio1!AA:AE,5,FALSE)</f>
        <v>#N/A</v>
      </c>
      <c r="T78">
        <f t="shared" si="28"/>
        <v>0</v>
      </c>
      <c r="U78">
        <f t="shared" si="29"/>
        <v>0</v>
      </c>
      <c r="V78" s="8"/>
      <c r="W78" s="8"/>
    </row>
    <row r="79" spans="1:28" x14ac:dyDescent="0.25">
      <c r="M79"/>
      <c r="N79"/>
      <c r="O79"/>
      <c r="P79"/>
      <c r="Q79" s="54" t="e">
        <f>VLOOKUP(B79,Foglio1!AA:AD,2,FALSE)</f>
        <v>#N/A</v>
      </c>
      <c r="R79" s="54" t="e">
        <f>VLOOKUP(B79,Foglio1!AA:AE,5,FALSE)</f>
        <v>#N/A</v>
      </c>
      <c r="T79">
        <f t="shared" si="28"/>
        <v>0</v>
      </c>
      <c r="U79">
        <f t="shared" si="29"/>
        <v>0</v>
      </c>
    </row>
    <row r="80" spans="1:28" x14ac:dyDescent="0.25">
      <c r="M80"/>
      <c r="N80"/>
      <c r="O80"/>
      <c r="P80"/>
      <c r="Q80" s="54" t="e">
        <f>VLOOKUP(B80,Foglio1!AA:AD,2,FALSE)</f>
        <v>#N/A</v>
      </c>
      <c r="R80" s="54" t="e">
        <f>VLOOKUP(B80,Foglio1!AA:AE,5,FALSE)</f>
        <v>#N/A</v>
      </c>
      <c r="T80">
        <f t="shared" si="28"/>
        <v>0</v>
      </c>
      <c r="U80">
        <f t="shared" si="29"/>
        <v>0</v>
      </c>
    </row>
    <row r="81" spans="1:30" ht="90" x14ac:dyDescent="0.25">
      <c r="A81" s="27" t="s">
        <v>110</v>
      </c>
      <c r="B81" s="5" t="s">
        <v>144</v>
      </c>
      <c r="C81" s="5" t="s">
        <v>145</v>
      </c>
      <c r="D81" s="15" t="s">
        <v>3</v>
      </c>
      <c r="E81" s="10" t="s">
        <v>146</v>
      </c>
      <c r="F81" s="3" t="s">
        <v>5</v>
      </c>
      <c r="G81" s="3" t="s">
        <v>111</v>
      </c>
      <c r="H81" s="3" t="s">
        <v>112</v>
      </c>
      <c r="I81" s="3" t="s">
        <v>113</v>
      </c>
      <c r="J81" s="3" t="s">
        <v>114</v>
      </c>
      <c r="K81" s="3" t="s">
        <v>115</v>
      </c>
      <c r="L81" s="3" t="s">
        <v>116</v>
      </c>
      <c r="M81" s="3"/>
      <c r="N81" s="4"/>
      <c r="O81" s="4"/>
      <c r="P81" s="4"/>
      <c r="Q81" s="54" t="e">
        <f>VLOOKUP(B81,Foglio1!AA:AD,2,FALSE)</f>
        <v>#N/A</v>
      </c>
      <c r="R81" s="54" t="e">
        <f>VLOOKUP(B81,Foglio1!AA:AE,5,FALSE)</f>
        <v>#N/A</v>
      </c>
      <c r="T81">
        <f t="shared" si="28"/>
        <v>0</v>
      </c>
      <c r="U81" t="e">
        <f t="shared" si="29"/>
        <v>#VALUE!</v>
      </c>
      <c r="V81" s="3"/>
      <c r="W81" s="5" t="s">
        <v>13</v>
      </c>
      <c r="X81" s="36" t="s">
        <v>197</v>
      </c>
    </row>
    <row r="82" spans="1:30" x14ac:dyDescent="0.25">
      <c r="A82" s="10" t="s">
        <v>198</v>
      </c>
      <c r="B82" s="9" t="s">
        <v>199</v>
      </c>
      <c r="C82" s="10"/>
      <c r="D82" s="2" t="s">
        <v>200</v>
      </c>
      <c r="E82" s="10"/>
      <c r="F82" s="10" t="s">
        <v>78</v>
      </c>
      <c r="G82" s="2">
        <v>25</v>
      </c>
      <c r="H82" s="2" t="s">
        <v>201</v>
      </c>
      <c r="I82" s="2"/>
      <c r="J82" s="2">
        <v>8.52</v>
      </c>
      <c r="K82" s="2">
        <v>8.52</v>
      </c>
      <c r="L82" s="22">
        <v>8.52</v>
      </c>
      <c r="M82" s="54">
        <f>+L82</f>
        <v>8.52</v>
      </c>
      <c r="Q82" s="54" t="e">
        <f>VLOOKUP(B82,Foglio1!AA:AD,2,FALSE)</f>
        <v>#N/A</v>
      </c>
      <c r="R82" s="54" t="e">
        <f>VLOOKUP(B82,Foglio1!AA:AE,5,FALSE)</f>
        <v>#N/A</v>
      </c>
      <c r="T82">
        <f t="shared" si="28"/>
        <v>4260</v>
      </c>
      <c r="U82">
        <f t="shared" si="29"/>
        <v>4260</v>
      </c>
      <c r="V82" s="2"/>
      <c r="W82" s="10">
        <v>15</v>
      </c>
      <c r="AB82">
        <f>+G82*J82</f>
        <v>213</v>
      </c>
    </row>
    <row r="83" spans="1:30" x14ac:dyDescent="0.25">
      <c r="M83"/>
      <c r="N83"/>
      <c r="O83"/>
      <c r="P83"/>
      <c r="Q83" s="54" t="e">
        <f>VLOOKUP(B83,Foglio1!AA:AD,2,FALSE)</f>
        <v>#N/A</v>
      </c>
      <c r="R83" s="54" t="e">
        <f>VLOOKUP(B83,Foglio1!AA:AE,5,FALSE)</f>
        <v>#N/A</v>
      </c>
      <c r="T83">
        <f t="shared" si="28"/>
        <v>0</v>
      </c>
      <c r="U83">
        <f t="shared" si="29"/>
        <v>0</v>
      </c>
    </row>
    <row r="84" spans="1:30" x14ac:dyDescent="0.25">
      <c r="M84"/>
      <c r="N84"/>
      <c r="O84"/>
      <c r="P84"/>
      <c r="Q84" s="54" t="e">
        <f>VLOOKUP(B84,Foglio1!AA:AD,2,FALSE)</f>
        <v>#N/A</v>
      </c>
      <c r="R84" s="54" t="e">
        <f>VLOOKUP(B84,Foglio1!AA:AE,5,FALSE)</f>
        <v>#N/A</v>
      </c>
      <c r="T84">
        <f t="shared" si="28"/>
        <v>0</v>
      </c>
      <c r="U84">
        <f t="shared" si="29"/>
        <v>0</v>
      </c>
    </row>
    <row r="85" spans="1:30" ht="45" x14ac:dyDescent="0.25">
      <c r="A85" s="37" t="s">
        <v>0</v>
      </c>
      <c r="B85" s="1" t="s">
        <v>1</v>
      </c>
      <c r="C85" s="5" t="s">
        <v>145</v>
      </c>
      <c r="D85" s="3" t="s">
        <v>202</v>
      </c>
      <c r="E85" s="10" t="s">
        <v>146</v>
      </c>
      <c r="F85" s="3" t="s">
        <v>5</v>
      </c>
      <c r="G85" s="3" t="s">
        <v>111</v>
      </c>
      <c r="H85" s="3" t="s">
        <v>112</v>
      </c>
      <c r="I85" s="3" t="s">
        <v>113</v>
      </c>
      <c r="J85" s="3" t="s">
        <v>114</v>
      </c>
      <c r="K85" s="3" t="s">
        <v>115</v>
      </c>
      <c r="L85" s="3" t="s">
        <v>116</v>
      </c>
      <c r="M85" s="3"/>
      <c r="N85" s="4"/>
      <c r="O85" s="4"/>
      <c r="P85" s="4"/>
      <c r="Q85" s="54" t="e">
        <f>VLOOKUP(B85,Foglio1!AA:AD,2,FALSE)</f>
        <v>#N/A</v>
      </c>
      <c r="R85" s="54" t="e">
        <f>VLOOKUP(B85,Foglio1!AA:AE,5,FALSE)</f>
        <v>#N/A</v>
      </c>
      <c r="T85">
        <f t="shared" si="28"/>
        <v>0</v>
      </c>
      <c r="U85" t="e">
        <f t="shared" si="29"/>
        <v>#VALUE!</v>
      </c>
      <c r="V85" s="3"/>
      <c r="W85" s="5" t="s">
        <v>203</v>
      </c>
    </row>
    <row r="86" spans="1:30" x14ac:dyDescent="0.25">
      <c r="A86" s="38" t="s">
        <v>204</v>
      </c>
      <c r="B86" s="24" t="s">
        <v>205</v>
      </c>
      <c r="C86" s="25" t="s">
        <v>206</v>
      </c>
      <c r="D86" s="39" t="s">
        <v>207</v>
      </c>
      <c r="E86" s="40" t="s">
        <v>208</v>
      </c>
      <c r="F86" s="41" t="s">
        <v>78</v>
      </c>
      <c r="G86" s="25">
        <v>3</v>
      </c>
      <c r="H86" s="23">
        <f t="shared" ref="H86:H87" si="33">+G86*4</f>
        <v>12</v>
      </c>
      <c r="I86" s="23">
        <f t="shared" ref="I86:I87" si="34">+G86*10</f>
        <v>30</v>
      </c>
      <c r="J86" s="23"/>
      <c r="K86" s="23">
        <v>9.3000000000000007</v>
      </c>
      <c r="L86" s="25">
        <v>8.6</v>
      </c>
      <c r="M86" s="10"/>
      <c r="N86"/>
      <c r="O86"/>
      <c r="P86"/>
      <c r="Q86" s="54" t="e">
        <f>VLOOKUP(B86,Foglio1!AA:AD,2,FALSE)</f>
        <v>#N/A</v>
      </c>
      <c r="R86" s="54" t="e">
        <f>VLOOKUP(B86,Foglio1!AA:AE,5,FALSE)</f>
        <v>#N/A</v>
      </c>
      <c r="T86">
        <f t="shared" si="28"/>
        <v>0</v>
      </c>
      <c r="U86">
        <f t="shared" si="29"/>
        <v>4300</v>
      </c>
      <c r="V86" s="25"/>
      <c r="W86" s="25">
        <v>30</v>
      </c>
      <c r="X86" s="8" t="s">
        <v>209</v>
      </c>
      <c r="AB86">
        <f>+H86*K86</f>
        <v>111.60000000000001</v>
      </c>
    </row>
    <row r="87" spans="1:30" x14ac:dyDescent="0.25">
      <c r="A87" s="8" t="s">
        <v>204</v>
      </c>
      <c r="B87" s="9" t="s">
        <v>210</v>
      </c>
      <c r="C87" s="10" t="s">
        <v>211</v>
      </c>
      <c r="D87" s="30" t="s">
        <v>212</v>
      </c>
      <c r="E87" s="9" t="s">
        <v>77</v>
      </c>
      <c r="F87" s="2" t="s">
        <v>78</v>
      </c>
      <c r="G87" s="10">
        <v>90</v>
      </c>
      <c r="H87" s="12">
        <f t="shared" si="33"/>
        <v>360</v>
      </c>
      <c r="I87" s="2">
        <f t="shared" si="34"/>
        <v>900</v>
      </c>
      <c r="J87" s="2"/>
      <c r="K87" s="12">
        <v>0.52</v>
      </c>
      <c r="L87" s="51">
        <v>0.46</v>
      </c>
      <c r="M87" s="54">
        <f>+L87</f>
        <v>0.46</v>
      </c>
      <c r="Q87" s="54" t="e">
        <f>VLOOKUP(B87,Foglio1!AA:AD,2,FALSE)</f>
        <v>#N/A</v>
      </c>
      <c r="R87" s="54" t="e">
        <f>VLOOKUP(B87,Foglio1!AA:AE,5,FALSE)</f>
        <v>#N/A</v>
      </c>
      <c r="T87">
        <f t="shared" si="28"/>
        <v>230</v>
      </c>
      <c r="U87">
        <f t="shared" si="29"/>
        <v>230</v>
      </c>
      <c r="V87" s="10"/>
      <c r="W87" s="10">
        <v>30</v>
      </c>
      <c r="X87" s="8"/>
      <c r="AB87">
        <f>+H87*K87</f>
        <v>187.20000000000002</v>
      </c>
    </row>
    <row r="88" spans="1:30" x14ac:dyDescent="0.25">
      <c r="M88"/>
      <c r="N88"/>
      <c r="O88"/>
      <c r="P88"/>
      <c r="Q88" s="54" t="e">
        <f>VLOOKUP(B88,Foglio1!AA:AD,2,FALSE)</f>
        <v>#N/A</v>
      </c>
      <c r="R88" s="54" t="e">
        <f>VLOOKUP(B88,Foglio1!AA:AE,5,FALSE)</f>
        <v>#N/A</v>
      </c>
      <c r="T88">
        <f t="shared" si="28"/>
        <v>0</v>
      </c>
      <c r="U88">
        <f t="shared" si="29"/>
        <v>0</v>
      </c>
      <c r="AB88">
        <f>SUM(AB86:AB87)</f>
        <v>298.8</v>
      </c>
    </row>
    <row r="89" spans="1:30" x14ac:dyDescent="0.25">
      <c r="M89"/>
      <c r="N89"/>
      <c r="O89"/>
      <c r="P89"/>
      <c r="Q89" s="54" t="e">
        <f>VLOOKUP(B89,Foglio1!AA:AD,2,FALSE)</f>
        <v>#N/A</v>
      </c>
      <c r="R89" s="54" t="e">
        <f>VLOOKUP(B89,Foglio1!AA:AE,5,FALSE)</f>
        <v>#N/A</v>
      </c>
      <c r="T89">
        <f t="shared" si="28"/>
        <v>0</v>
      </c>
      <c r="U89">
        <f t="shared" si="29"/>
        <v>0</v>
      </c>
    </row>
    <row r="90" spans="1:30" ht="45" x14ac:dyDescent="0.25">
      <c r="A90" s="20" t="s">
        <v>0</v>
      </c>
      <c r="B90" s="1" t="s">
        <v>1</v>
      </c>
      <c r="C90" s="5" t="s">
        <v>145</v>
      </c>
      <c r="D90" s="3" t="s">
        <v>202</v>
      </c>
      <c r="E90" s="10" t="s">
        <v>146</v>
      </c>
      <c r="F90" s="3" t="s">
        <v>5</v>
      </c>
      <c r="G90" s="3" t="s">
        <v>111</v>
      </c>
      <c r="H90" s="3" t="s">
        <v>112</v>
      </c>
      <c r="I90" s="3" t="s">
        <v>113</v>
      </c>
      <c r="J90" s="3" t="s">
        <v>114</v>
      </c>
      <c r="K90" s="3" t="s">
        <v>115</v>
      </c>
      <c r="L90" s="3" t="s">
        <v>116</v>
      </c>
      <c r="M90" s="3"/>
      <c r="N90" s="4"/>
      <c r="O90" s="4"/>
      <c r="P90" s="4"/>
      <c r="Q90" s="54" t="e">
        <f>VLOOKUP(B90,Foglio1!AA:AD,2,FALSE)</f>
        <v>#N/A</v>
      </c>
      <c r="R90" s="54" t="e">
        <f>VLOOKUP(B90,Foglio1!AA:AE,5,FALSE)</f>
        <v>#N/A</v>
      </c>
      <c r="T90">
        <f t="shared" si="28"/>
        <v>0</v>
      </c>
      <c r="U90" t="e">
        <f t="shared" si="29"/>
        <v>#VALUE!</v>
      </c>
      <c r="V90" s="3"/>
      <c r="W90" s="5" t="s">
        <v>203</v>
      </c>
    </row>
    <row r="91" spans="1:30" x14ac:dyDescent="0.25">
      <c r="A91" s="2" t="s">
        <v>213</v>
      </c>
      <c r="B91" s="9" t="s">
        <v>214</v>
      </c>
      <c r="C91" s="42" t="s">
        <v>215</v>
      </c>
      <c r="D91" s="2" t="s">
        <v>216</v>
      </c>
      <c r="E91" s="2"/>
      <c r="F91" s="2" t="s">
        <v>92</v>
      </c>
      <c r="G91" s="12">
        <v>100</v>
      </c>
      <c r="H91" s="2">
        <f t="shared" ref="H91" si="35">+G91*4</f>
        <v>400</v>
      </c>
      <c r="I91" s="2">
        <f t="shared" ref="I91" si="36">+G91*10</f>
        <v>1000</v>
      </c>
      <c r="J91" s="10">
        <v>6.75</v>
      </c>
      <c r="K91" s="10">
        <v>6.75</v>
      </c>
      <c r="L91" s="51">
        <v>6</v>
      </c>
      <c r="M91" s="54">
        <f>+L91</f>
        <v>6</v>
      </c>
      <c r="Q91" s="54" t="e">
        <f>VLOOKUP(B91,Foglio1!AA:AD,2,FALSE)</f>
        <v>#N/A</v>
      </c>
      <c r="R91" s="54" t="e">
        <f>VLOOKUP(B91,Foglio1!AA:AE,5,FALSE)</f>
        <v>#N/A</v>
      </c>
      <c r="T91">
        <f t="shared" si="28"/>
        <v>3000</v>
      </c>
      <c r="U91">
        <f t="shared" si="29"/>
        <v>3000</v>
      </c>
      <c r="V91" s="10"/>
      <c r="W91" s="10">
        <v>21</v>
      </c>
      <c r="AB91">
        <f>+H91*K91</f>
        <v>2700</v>
      </c>
    </row>
    <row r="92" spans="1:30" x14ac:dyDescent="0.25">
      <c r="M92"/>
      <c r="N92"/>
      <c r="O92"/>
      <c r="P92"/>
      <c r="Q92" s="54" t="e">
        <f>VLOOKUP(B92,Foglio1!AA:AD,2,FALSE)</f>
        <v>#N/A</v>
      </c>
      <c r="R92" s="54" t="e">
        <f>VLOOKUP(B92,Foglio1!AA:AE,5,FALSE)</f>
        <v>#N/A</v>
      </c>
      <c r="T92">
        <f t="shared" si="28"/>
        <v>0</v>
      </c>
      <c r="U92">
        <f t="shared" si="29"/>
        <v>0</v>
      </c>
    </row>
    <row r="93" spans="1:30" x14ac:dyDescent="0.25">
      <c r="M93"/>
      <c r="N93"/>
      <c r="O93"/>
      <c r="P93"/>
      <c r="Q93" s="54" t="e">
        <f>VLOOKUP(B93,Foglio1!AA:AD,2,FALSE)</f>
        <v>#N/A</v>
      </c>
      <c r="R93" s="54" t="e">
        <f>VLOOKUP(B93,Foglio1!AA:AE,5,FALSE)</f>
        <v>#N/A</v>
      </c>
      <c r="T93">
        <f t="shared" si="28"/>
        <v>0</v>
      </c>
      <c r="U93">
        <f t="shared" ref="U93:U124" si="37">+L93*500</f>
        <v>0</v>
      </c>
    </row>
    <row r="94" spans="1:30" ht="45" x14ac:dyDescent="0.25">
      <c r="A94" s="20" t="s">
        <v>0</v>
      </c>
      <c r="B94" s="1" t="s">
        <v>1</v>
      </c>
      <c r="C94" s="5" t="s">
        <v>145</v>
      </c>
      <c r="D94" s="3" t="s">
        <v>202</v>
      </c>
      <c r="E94" s="10" t="s">
        <v>217</v>
      </c>
      <c r="F94" s="3" t="s">
        <v>5</v>
      </c>
      <c r="G94" s="3" t="s">
        <v>111</v>
      </c>
      <c r="H94" s="3" t="s">
        <v>112</v>
      </c>
      <c r="I94" s="3" t="s">
        <v>113</v>
      </c>
      <c r="J94" s="3" t="s">
        <v>114</v>
      </c>
      <c r="K94" s="3" t="s">
        <v>115</v>
      </c>
      <c r="L94" s="3" t="s">
        <v>116</v>
      </c>
      <c r="M94" s="3"/>
      <c r="N94" s="4"/>
      <c r="O94" s="4"/>
      <c r="P94" s="4"/>
      <c r="Q94" s="54" t="e">
        <f>VLOOKUP(B94,Foglio1!AA:AD,2,FALSE)</f>
        <v>#N/A</v>
      </c>
      <c r="R94" s="54" t="e">
        <f>VLOOKUP(B94,Foglio1!AA:AE,5,FALSE)</f>
        <v>#N/A</v>
      </c>
      <c r="T94">
        <f t="shared" si="28"/>
        <v>0</v>
      </c>
      <c r="U94" t="e">
        <f t="shared" si="37"/>
        <v>#VALUE!</v>
      </c>
      <c r="V94" s="3"/>
      <c r="W94" s="5" t="s">
        <v>203</v>
      </c>
    </row>
    <row r="95" spans="1:30" x14ac:dyDescent="0.25">
      <c r="A95" s="2" t="s">
        <v>218</v>
      </c>
      <c r="B95" s="9" t="s">
        <v>219</v>
      </c>
      <c r="C95" s="10" t="s">
        <v>220</v>
      </c>
      <c r="D95" s="32" t="s">
        <v>221</v>
      </c>
      <c r="E95" s="2" t="s">
        <v>222</v>
      </c>
      <c r="F95" s="43" t="s">
        <v>92</v>
      </c>
      <c r="G95" s="2">
        <v>3</v>
      </c>
      <c r="H95" s="2">
        <f t="shared" ref="H95:H99" si="38">+G95*4</f>
        <v>12</v>
      </c>
      <c r="I95" s="2">
        <f t="shared" ref="I95:I99" si="39">+G95*10</f>
        <v>30</v>
      </c>
      <c r="J95" s="10">
        <v>11.85</v>
      </c>
      <c r="K95" s="10">
        <v>11.85</v>
      </c>
      <c r="L95" s="51">
        <v>11.85</v>
      </c>
      <c r="M95" s="54">
        <f>+L95</f>
        <v>11.85</v>
      </c>
      <c r="Q95" s="54" t="e">
        <f>VLOOKUP(B95,Foglio1!AA:AD,2,FALSE)</f>
        <v>#N/A</v>
      </c>
      <c r="R95" s="54" t="e">
        <f>VLOOKUP(B95,Foglio1!AA:AE,5,FALSE)</f>
        <v>#N/A</v>
      </c>
      <c r="T95">
        <f t="shared" si="28"/>
        <v>5925</v>
      </c>
      <c r="U95">
        <f t="shared" si="37"/>
        <v>5925</v>
      </c>
      <c r="V95" s="10" t="s">
        <v>223</v>
      </c>
      <c r="W95" s="10">
        <v>40</v>
      </c>
      <c r="AB95" s="44">
        <f t="shared" ref="AB95:AD99" si="40">+G95*J95</f>
        <v>35.549999999999997</v>
      </c>
      <c r="AC95" s="44">
        <f t="shared" si="40"/>
        <v>142.19999999999999</v>
      </c>
      <c r="AD95" s="44">
        <f t="shared" si="40"/>
        <v>355.5</v>
      </c>
    </row>
    <row r="96" spans="1:30" x14ac:dyDescent="0.25">
      <c r="A96" s="2" t="s">
        <v>218</v>
      </c>
      <c r="B96" s="9" t="s">
        <v>224</v>
      </c>
      <c r="C96" s="10" t="s">
        <v>225</v>
      </c>
      <c r="D96" s="32" t="s">
        <v>226</v>
      </c>
      <c r="E96" s="2" t="s">
        <v>227</v>
      </c>
      <c r="F96" s="43" t="s">
        <v>92</v>
      </c>
      <c r="G96" s="2">
        <v>250</v>
      </c>
      <c r="H96" s="2">
        <f t="shared" si="38"/>
        <v>1000</v>
      </c>
      <c r="I96" s="2">
        <f t="shared" si="39"/>
        <v>2500</v>
      </c>
      <c r="J96" s="10"/>
      <c r="K96" s="10"/>
      <c r="L96" s="51">
        <v>5.8659999999999997E-2</v>
      </c>
      <c r="M96" s="54">
        <f>+L96</f>
        <v>5.8659999999999997E-2</v>
      </c>
      <c r="Q96" s="54" t="e">
        <f>VLOOKUP(B96,Foglio1!AA:AD,2,FALSE)</f>
        <v>#N/A</v>
      </c>
      <c r="R96" s="54" t="e">
        <f>VLOOKUP(B96,Foglio1!AA:AE,5,FALSE)</f>
        <v>#N/A</v>
      </c>
      <c r="T96">
        <f t="shared" si="28"/>
        <v>29.33</v>
      </c>
      <c r="U96">
        <f t="shared" si="37"/>
        <v>29.33</v>
      </c>
      <c r="V96" s="10" t="s">
        <v>228</v>
      </c>
      <c r="W96" s="10">
        <v>21</v>
      </c>
      <c r="AB96" s="44">
        <f t="shared" si="40"/>
        <v>0</v>
      </c>
      <c r="AC96" s="44">
        <f t="shared" si="40"/>
        <v>0</v>
      </c>
      <c r="AD96" s="44">
        <f t="shared" si="40"/>
        <v>146.65</v>
      </c>
    </row>
    <row r="97" spans="1:30" x14ac:dyDescent="0.25">
      <c r="A97" s="2" t="s">
        <v>218</v>
      </c>
      <c r="B97" s="9" t="s">
        <v>229</v>
      </c>
      <c r="C97" s="10" t="s">
        <v>230</v>
      </c>
      <c r="D97" s="45" t="s">
        <v>231</v>
      </c>
      <c r="E97" s="2" t="s">
        <v>222</v>
      </c>
      <c r="F97" s="43" t="s">
        <v>78</v>
      </c>
      <c r="G97" s="2">
        <v>100</v>
      </c>
      <c r="H97" s="2">
        <f t="shared" si="38"/>
        <v>400</v>
      </c>
      <c r="I97" s="2">
        <f t="shared" si="39"/>
        <v>1000</v>
      </c>
      <c r="J97" s="10"/>
      <c r="K97" s="10"/>
      <c r="L97" s="51">
        <v>3.9070000000000001E-2</v>
      </c>
      <c r="M97" s="54">
        <f>+L97</f>
        <v>3.9070000000000001E-2</v>
      </c>
      <c r="Q97" s="54" t="e">
        <f>VLOOKUP(B97,Foglio1!AA:AD,2,FALSE)</f>
        <v>#N/A</v>
      </c>
      <c r="R97" s="54" t="e">
        <f>VLOOKUP(B97,Foglio1!AA:AE,5,FALSE)</f>
        <v>#N/A</v>
      </c>
      <c r="T97">
        <f t="shared" si="28"/>
        <v>19.535</v>
      </c>
      <c r="U97">
        <f t="shared" si="37"/>
        <v>19.535</v>
      </c>
      <c r="V97" s="10"/>
      <c r="W97" s="10">
        <v>40</v>
      </c>
      <c r="AB97" s="44">
        <f t="shared" si="40"/>
        <v>0</v>
      </c>
      <c r="AC97" s="44">
        <f t="shared" si="40"/>
        <v>0</v>
      </c>
      <c r="AD97" s="44">
        <f t="shared" si="40"/>
        <v>39.07</v>
      </c>
    </row>
    <row r="98" spans="1:30" x14ac:dyDescent="0.25">
      <c r="A98" s="2" t="s">
        <v>218</v>
      </c>
      <c r="B98" s="9" t="s">
        <v>232</v>
      </c>
      <c r="C98" s="10" t="s">
        <v>233</v>
      </c>
      <c r="D98" s="45" t="s">
        <v>234</v>
      </c>
      <c r="E98" s="2" t="s">
        <v>222</v>
      </c>
      <c r="F98" s="2" t="s">
        <v>78</v>
      </c>
      <c r="G98" s="2">
        <v>190</v>
      </c>
      <c r="H98" s="2">
        <f t="shared" si="38"/>
        <v>760</v>
      </c>
      <c r="I98" s="2">
        <f t="shared" si="39"/>
        <v>1900</v>
      </c>
      <c r="J98" s="10"/>
      <c r="K98" s="51">
        <v>0.10241</v>
      </c>
      <c r="L98" s="10"/>
      <c r="M98" s="54">
        <f>+K98</f>
        <v>0.10241</v>
      </c>
      <c r="Q98" s="54" t="e">
        <f>VLOOKUP(B98,Foglio1!AA:AD,2,FALSE)</f>
        <v>#N/A</v>
      </c>
      <c r="R98" s="54" t="e">
        <f>VLOOKUP(B98,Foglio1!AA:AE,5,FALSE)</f>
        <v>#N/A</v>
      </c>
      <c r="T98">
        <f t="shared" si="28"/>
        <v>51.204999999999998</v>
      </c>
      <c r="U98">
        <f t="shared" si="37"/>
        <v>0</v>
      </c>
      <c r="V98" s="10" t="s">
        <v>235</v>
      </c>
      <c r="W98" s="10">
        <v>40</v>
      </c>
      <c r="AB98" s="44">
        <f t="shared" si="40"/>
        <v>0</v>
      </c>
      <c r="AC98" s="44">
        <f t="shared" si="40"/>
        <v>77.831599999999995</v>
      </c>
      <c r="AD98" s="44">
        <f t="shared" si="40"/>
        <v>0</v>
      </c>
    </row>
    <row r="99" spans="1:30" x14ac:dyDescent="0.25">
      <c r="A99" s="2" t="s">
        <v>218</v>
      </c>
      <c r="B99" s="9" t="s">
        <v>236</v>
      </c>
      <c r="C99" s="10" t="s">
        <v>237</v>
      </c>
      <c r="D99" s="45" t="s">
        <v>238</v>
      </c>
      <c r="E99" s="2" t="s">
        <v>222</v>
      </c>
      <c r="F99" s="2" t="s">
        <v>78</v>
      </c>
      <c r="G99" s="2">
        <v>200</v>
      </c>
      <c r="H99" s="2">
        <f t="shared" si="38"/>
        <v>800</v>
      </c>
      <c r="I99" s="2">
        <f t="shared" si="39"/>
        <v>2000</v>
      </c>
      <c r="J99" s="10"/>
      <c r="K99" s="51">
        <v>4.267E-2</v>
      </c>
      <c r="L99" s="10"/>
      <c r="M99" s="54">
        <f>+K99</f>
        <v>4.267E-2</v>
      </c>
      <c r="Q99" s="54" t="e">
        <f>VLOOKUP(B99,Foglio1!AA:AD,2,FALSE)</f>
        <v>#N/A</v>
      </c>
      <c r="R99" s="54" t="e">
        <f>VLOOKUP(B99,Foglio1!AA:AE,5,FALSE)</f>
        <v>#N/A</v>
      </c>
      <c r="T99">
        <f t="shared" si="28"/>
        <v>21.335000000000001</v>
      </c>
      <c r="U99">
        <f t="shared" si="37"/>
        <v>0</v>
      </c>
      <c r="V99" s="10" t="s">
        <v>239</v>
      </c>
      <c r="W99" s="10">
        <v>40</v>
      </c>
      <c r="AB99" s="44">
        <f t="shared" si="40"/>
        <v>0</v>
      </c>
      <c r="AC99" s="44">
        <f t="shared" si="40"/>
        <v>34.136000000000003</v>
      </c>
      <c r="AD99" s="44">
        <f t="shared" si="40"/>
        <v>0</v>
      </c>
    </row>
    <row r="100" spans="1:30" x14ac:dyDescent="0.25">
      <c r="A100" s="8"/>
      <c r="M100"/>
      <c r="N100"/>
      <c r="O100"/>
      <c r="P100"/>
      <c r="Q100" s="54" t="e">
        <f>VLOOKUP(B100,Foglio1!AA:AD,2,FALSE)</f>
        <v>#N/A</v>
      </c>
      <c r="R100" s="54" t="e">
        <f>VLOOKUP(B100,Foglio1!AA:AE,5,FALSE)</f>
        <v>#N/A</v>
      </c>
      <c r="T100">
        <f t="shared" si="28"/>
        <v>0</v>
      </c>
      <c r="U100">
        <f t="shared" si="37"/>
        <v>0</v>
      </c>
    </row>
    <row r="101" spans="1:30" x14ac:dyDescent="0.25">
      <c r="M101"/>
      <c r="N101"/>
      <c r="O101"/>
      <c r="P101"/>
      <c r="Q101" s="54" t="e">
        <f>VLOOKUP(B101,Foglio1!AA:AD,2,FALSE)</f>
        <v>#N/A</v>
      </c>
      <c r="R101" s="54" t="e">
        <f>VLOOKUP(B101,Foglio1!AA:AE,5,FALSE)</f>
        <v>#N/A</v>
      </c>
      <c r="T101">
        <f t="shared" si="28"/>
        <v>0</v>
      </c>
      <c r="U101">
        <f t="shared" si="37"/>
        <v>0</v>
      </c>
    </row>
    <row r="102" spans="1:30" ht="45" x14ac:dyDescent="0.25">
      <c r="A102" s="20" t="s">
        <v>0</v>
      </c>
      <c r="B102" s="1" t="s">
        <v>1</v>
      </c>
      <c r="C102" s="5" t="s">
        <v>145</v>
      </c>
      <c r="D102" s="3" t="s">
        <v>202</v>
      </c>
      <c r="E102" s="2" t="s">
        <v>146</v>
      </c>
      <c r="F102" s="3" t="s">
        <v>5</v>
      </c>
      <c r="G102" s="3" t="s">
        <v>111</v>
      </c>
      <c r="H102" s="3" t="s">
        <v>112</v>
      </c>
      <c r="I102" s="3" t="s">
        <v>113</v>
      </c>
      <c r="J102" s="3" t="s">
        <v>114</v>
      </c>
      <c r="K102" s="3" t="s">
        <v>115</v>
      </c>
      <c r="L102" s="3" t="s">
        <v>116</v>
      </c>
      <c r="M102" s="3"/>
      <c r="N102" s="4"/>
      <c r="O102" s="4"/>
      <c r="P102" s="4"/>
      <c r="Q102" s="54" t="e">
        <f>VLOOKUP(B102,Foglio1!AA:AD,2,FALSE)</f>
        <v>#N/A</v>
      </c>
      <c r="R102" s="54" t="e">
        <f>VLOOKUP(B102,Foglio1!AA:AE,5,FALSE)</f>
        <v>#N/A</v>
      </c>
      <c r="T102">
        <f t="shared" si="28"/>
        <v>0</v>
      </c>
      <c r="U102" t="e">
        <f t="shared" si="37"/>
        <v>#VALUE!</v>
      </c>
      <c r="V102" s="3"/>
      <c r="W102" s="5" t="s">
        <v>203</v>
      </c>
    </row>
    <row r="103" spans="1:30" x14ac:dyDescent="0.25">
      <c r="A103" s="10" t="s">
        <v>240</v>
      </c>
      <c r="B103" s="15" t="s">
        <v>241</v>
      </c>
      <c r="C103" s="10" t="s">
        <v>242</v>
      </c>
      <c r="D103" s="2" t="s">
        <v>243</v>
      </c>
      <c r="E103" s="2" t="s">
        <v>244</v>
      </c>
      <c r="F103" s="43" t="s">
        <v>78</v>
      </c>
      <c r="G103" s="16">
        <v>100</v>
      </c>
      <c r="H103" s="2">
        <f t="shared" ref="H103:H106" si="41">+G103*4</f>
        <v>400</v>
      </c>
      <c r="I103" s="2">
        <f t="shared" ref="I103:I106" si="42">+G103*10</f>
        <v>1000</v>
      </c>
      <c r="J103" s="13">
        <v>2.54</v>
      </c>
      <c r="K103" s="10">
        <v>2.3199999999999998</v>
      </c>
      <c r="L103" s="51">
        <v>2.04</v>
      </c>
      <c r="M103" s="54">
        <f>+L103</f>
        <v>2.04</v>
      </c>
      <c r="Q103" s="54" t="e">
        <f>VLOOKUP(B103,Foglio1!AA:AD,2,FALSE)</f>
        <v>#N/A</v>
      </c>
      <c r="R103" s="54" t="e">
        <f>VLOOKUP(B103,Foglio1!AA:AE,5,FALSE)</f>
        <v>#N/A</v>
      </c>
      <c r="T103">
        <f t="shared" si="28"/>
        <v>1020</v>
      </c>
      <c r="U103">
        <f t="shared" si="37"/>
        <v>1020</v>
      </c>
      <c r="V103" s="10"/>
      <c r="W103" s="10">
        <v>30</v>
      </c>
      <c r="AB103" s="44">
        <f t="shared" ref="AB103:AD106" si="43">+G103*J103</f>
        <v>254</v>
      </c>
      <c r="AC103" s="44">
        <f t="shared" si="43"/>
        <v>927.99999999999989</v>
      </c>
      <c r="AD103" s="44">
        <f t="shared" si="43"/>
        <v>2040</v>
      </c>
    </row>
    <row r="104" spans="1:30" x14ac:dyDescent="0.25">
      <c r="A104" s="10" t="s">
        <v>240</v>
      </c>
      <c r="B104" s="15" t="s">
        <v>245</v>
      </c>
      <c r="C104" s="10" t="s">
        <v>246</v>
      </c>
      <c r="D104" s="2" t="s">
        <v>247</v>
      </c>
      <c r="E104" s="2" t="s">
        <v>244</v>
      </c>
      <c r="F104" s="43" t="s">
        <v>78</v>
      </c>
      <c r="G104" s="16">
        <v>50</v>
      </c>
      <c r="H104" s="2">
        <f t="shared" si="41"/>
        <v>200</v>
      </c>
      <c r="I104" s="2">
        <f t="shared" si="42"/>
        <v>500</v>
      </c>
      <c r="J104" s="13">
        <v>8.65</v>
      </c>
      <c r="K104" s="10">
        <v>2.13</v>
      </c>
      <c r="L104" s="51">
        <v>1.93</v>
      </c>
      <c r="M104" s="54">
        <f>+L104</f>
        <v>1.93</v>
      </c>
      <c r="Q104" s="54" t="e">
        <f>VLOOKUP(B104,Foglio1!AA:AD,2,FALSE)</f>
        <v>#N/A</v>
      </c>
      <c r="R104" s="54" t="e">
        <f>VLOOKUP(B104,Foglio1!AA:AE,5,FALSE)</f>
        <v>#N/A</v>
      </c>
      <c r="T104">
        <f t="shared" si="28"/>
        <v>965</v>
      </c>
      <c r="U104">
        <f t="shared" si="37"/>
        <v>965</v>
      </c>
      <c r="V104" s="10"/>
      <c r="W104" s="10">
        <v>30</v>
      </c>
      <c r="AB104" s="44">
        <f t="shared" si="43"/>
        <v>432.5</v>
      </c>
      <c r="AC104" s="44">
        <f t="shared" si="43"/>
        <v>426</v>
      </c>
      <c r="AD104" s="44">
        <f t="shared" si="43"/>
        <v>965</v>
      </c>
    </row>
    <row r="105" spans="1:30" x14ac:dyDescent="0.25">
      <c r="A105" s="10" t="s">
        <v>240</v>
      </c>
      <c r="B105" s="15" t="s">
        <v>248</v>
      </c>
      <c r="C105" s="10" t="s">
        <v>249</v>
      </c>
      <c r="D105" s="2" t="s">
        <v>250</v>
      </c>
      <c r="E105" s="2" t="s">
        <v>244</v>
      </c>
      <c r="F105" s="43" t="s">
        <v>78</v>
      </c>
      <c r="G105" s="16">
        <v>50</v>
      </c>
      <c r="H105" s="2">
        <f t="shared" si="41"/>
        <v>200</v>
      </c>
      <c r="I105" s="2">
        <f t="shared" si="42"/>
        <v>500</v>
      </c>
      <c r="J105" s="13">
        <v>2.5299999999999998</v>
      </c>
      <c r="K105" s="51">
        <v>8.25</v>
      </c>
      <c r="L105" s="10">
        <v>7.95</v>
      </c>
      <c r="M105" s="54">
        <f>+K105</f>
        <v>8.25</v>
      </c>
      <c r="Q105" s="54" t="e">
        <f>VLOOKUP(B105,Foglio1!AA:AD,2,FALSE)</f>
        <v>#N/A</v>
      </c>
      <c r="R105" s="54" t="e">
        <f>VLOOKUP(B105,Foglio1!AA:AE,5,FALSE)</f>
        <v>#N/A</v>
      </c>
      <c r="T105">
        <f t="shared" si="28"/>
        <v>4125</v>
      </c>
      <c r="U105">
        <f t="shared" si="37"/>
        <v>3975</v>
      </c>
      <c r="V105" s="10"/>
      <c r="W105" s="10">
        <v>30</v>
      </c>
      <c r="AB105" s="44">
        <f t="shared" si="43"/>
        <v>126.49999999999999</v>
      </c>
      <c r="AC105" s="44">
        <f t="shared" si="43"/>
        <v>1650</v>
      </c>
      <c r="AD105" s="44">
        <f t="shared" si="43"/>
        <v>3975</v>
      </c>
    </row>
    <row r="106" spans="1:30" x14ac:dyDescent="0.25">
      <c r="A106" s="10" t="s">
        <v>240</v>
      </c>
      <c r="B106" s="15" t="s">
        <v>251</v>
      </c>
      <c r="C106" s="10" t="s">
        <v>252</v>
      </c>
      <c r="D106" s="2" t="s">
        <v>253</v>
      </c>
      <c r="E106" s="2" t="s">
        <v>244</v>
      </c>
      <c r="F106" s="43" t="s">
        <v>78</v>
      </c>
      <c r="G106" s="16">
        <v>50</v>
      </c>
      <c r="H106" s="2">
        <f t="shared" si="41"/>
        <v>200</v>
      </c>
      <c r="I106" s="2">
        <f t="shared" si="42"/>
        <v>500</v>
      </c>
      <c r="J106" s="13">
        <v>8.65</v>
      </c>
      <c r="K106" s="51">
        <v>8.16</v>
      </c>
      <c r="L106" s="10">
        <v>7.86</v>
      </c>
      <c r="M106" s="54">
        <f>+K106</f>
        <v>8.16</v>
      </c>
      <c r="Q106" s="54" t="e">
        <f>VLOOKUP(B106,Foglio1!AA:AD,2,FALSE)</f>
        <v>#N/A</v>
      </c>
      <c r="R106" s="54" t="e">
        <f>VLOOKUP(B106,Foglio1!AA:AE,5,FALSE)</f>
        <v>#N/A</v>
      </c>
      <c r="T106">
        <f t="shared" si="28"/>
        <v>4080</v>
      </c>
      <c r="U106">
        <f t="shared" si="37"/>
        <v>3930</v>
      </c>
      <c r="V106" s="10"/>
      <c r="W106" s="10">
        <v>30</v>
      </c>
      <c r="AB106" s="44">
        <f t="shared" si="43"/>
        <v>432.5</v>
      </c>
      <c r="AC106" s="44">
        <f t="shared" si="43"/>
        <v>1632</v>
      </c>
      <c r="AD106" s="44">
        <f t="shared" si="43"/>
        <v>3930</v>
      </c>
    </row>
    <row r="107" spans="1:30" x14ac:dyDescent="0.25">
      <c r="M107"/>
      <c r="N107"/>
      <c r="O107"/>
      <c r="P107"/>
      <c r="Q107" s="54" t="e">
        <f>VLOOKUP(B107,Foglio1!AA:AD,2,FALSE)</f>
        <v>#N/A</v>
      </c>
      <c r="R107" s="54" t="e">
        <f>VLOOKUP(B107,Foglio1!AA:AE,5,FALSE)</f>
        <v>#N/A</v>
      </c>
      <c r="T107">
        <f t="shared" si="28"/>
        <v>0</v>
      </c>
      <c r="U107">
        <f t="shared" si="37"/>
        <v>0</v>
      </c>
      <c r="AB107" s="44">
        <f>SUM(AB103:AB106)</f>
        <v>1245.5</v>
      </c>
      <c r="AC107" s="44">
        <f t="shared" ref="AC107:AD107" si="44">SUM(AC103:AC106)</f>
        <v>4636</v>
      </c>
      <c r="AD107" s="44">
        <f t="shared" si="44"/>
        <v>10910</v>
      </c>
    </row>
    <row r="108" spans="1:30" x14ac:dyDescent="0.25">
      <c r="M108"/>
      <c r="N108"/>
      <c r="O108"/>
      <c r="P108"/>
      <c r="Q108" s="54" t="e">
        <f>VLOOKUP(B108,Foglio1!AA:AD,2,FALSE)</f>
        <v>#N/A</v>
      </c>
      <c r="R108" s="54" t="e">
        <f>VLOOKUP(B108,Foglio1!AA:AE,5,FALSE)</f>
        <v>#N/A</v>
      </c>
      <c r="T108">
        <f t="shared" si="28"/>
        <v>0</v>
      </c>
      <c r="U108">
        <f t="shared" si="37"/>
        <v>0</v>
      </c>
      <c r="AB108">
        <f>+AB107/50</f>
        <v>24.91</v>
      </c>
      <c r="AC108">
        <f>+AC107/200</f>
        <v>23.18</v>
      </c>
      <c r="AD108">
        <f>+AD107/500</f>
        <v>21.82</v>
      </c>
    </row>
    <row r="109" spans="1:30" ht="45" x14ac:dyDescent="0.25">
      <c r="A109" s="3" t="s">
        <v>0</v>
      </c>
      <c r="B109" s="5" t="s">
        <v>144</v>
      </c>
      <c r="C109" s="5" t="s">
        <v>145</v>
      </c>
      <c r="D109" s="3" t="s">
        <v>202</v>
      </c>
      <c r="E109" s="2" t="s">
        <v>146</v>
      </c>
      <c r="F109" s="3" t="s">
        <v>5</v>
      </c>
      <c r="G109" s="3" t="s">
        <v>111</v>
      </c>
      <c r="H109" s="3" t="s">
        <v>112</v>
      </c>
      <c r="I109" s="3" t="s">
        <v>113</v>
      </c>
      <c r="J109" s="3" t="s">
        <v>114</v>
      </c>
      <c r="K109" s="3" t="s">
        <v>115</v>
      </c>
      <c r="L109" s="3" t="s">
        <v>116</v>
      </c>
      <c r="M109" s="3"/>
      <c r="N109" s="4"/>
      <c r="O109" s="4"/>
      <c r="P109" s="4"/>
      <c r="Q109" s="54" t="e">
        <f>VLOOKUP(B109,Foglio1!AA:AD,2,FALSE)</f>
        <v>#N/A</v>
      </c>
      <c r="R109" s="54" t="e">
        <f>VLOOKUP(B109,Foglio1!AA:AE,5,FALSE)</f>
        <v>#N/A</v>
      </c>
      <c r="T109">
        <f t="shared" si="28"/>
        <v>0</v>
      </c>
      <c r="U109" t="e">
        <f t="shared" si="37"/>
        <v>#VALUE!</v>
      </c>
      <c r="V109" s="3"/>
      <c r="W109" s="5" t="s">
        <v>203</v>
      </c>
    </row>
    <row r="110" spans="1:30" x14ac:dyDescent="0.25">
      <c r="A110" s="10" t="s">
        <v>254</v>
      </c>
      <c r="B110" s="9" t="s">
        <v>255</v>
      </c>
      <c r="C110" s="10" t="s">
        <v>256</v>
      </c>
      <c r="D110" s="2" t="s">
        <v>257</v>
      </c>
      <c r="E110" s="2" t="s">
        <v>244</v>
      </c>
      <c r="F110" s="43" t="s">
        <v>78</v>
      </c>
      <c r="G110" s="16">
        <v>3</v>
      </c>
      <c r="H110" s="2">
        <f t="shared" ref="H110:H111" si="45">+G110*4</f>
        <v>12</v>
      </c>
      <c r="I110" s="12">
        <f t="shared" ref="I110:I111" si="46">+G110*10</f>
        <v>30</v>
      </c>
      <c r="J110" s="10"/>
      <c r="K110" s="51">
        <v>84.5</v>
      </c>
      <c r="L110" s="13">
        <v>67.599999999999994</v>
      </c>
      <c r="M110" s="54">
        <f>+K110</f>
        <v>84.5</v>
      </c>
      <c r="Q110" s="54" t="e">
        <f>VLOOKUP(B110,Foglio1!AA:AD,2,FALSE)</f>
        <v>#N/A</v>
      </c>
      <c r="R110" s="54" t="e">
        <f>VLOOKUP(B110,Foglio1!AA:AE,5,FALSE)</f>
        <v>#N/A</v>
      </c>
      <c r="T110">
        <f t="shared" si="28"/>
        <v>42250</v>
      </c>
      <c r="U110">
        <f t="shared" si="37"/>
        <v>33800</v>
      </c>
      <c r="V110" s="10"/>
      <c r="W110" s="10">
        <v>45</v>
      </c>
      <c r="AC110" s="44">
        <f>+H110*K110</f>
        <v>1014</v>
      </c>
      <c r="AD110" s="44">
        <f>+I110*L110</f>
        <v>2027.9999999999998</v>
      </c>
    </row>
    <row r="111" spans="1:30" x14ac:dyDescent="0.25">
      <c r="A111" s="10" t="s">
        <v>254</v>
      </c>
      <c r="B111" s="9" t="s">
        <v>205</v>
      </c>
      <c r="C111" s="10" t="s">
        <v>206</v>
      </c>
      <c r="D111" s="32" t="s">
        <v>207</v>
      </c>
      <c r="E111" s="16" t="s">
        <v>208</v>
      </c>
      <c r="F111" s="43" t="s">
        <v>78</v>
      </c>
      <c r="G111" s="16">
        <v>3</v>
      </c>
      <c r="H111" s="2">
        <f t="shared" si="45"/>
        <v>12</v>
      </c>
      <c r="I111" s="12">
        <f t="shared" si="46"/>
        <v>30</v>
      </c>
      <c r="J111" s="10"/>
      <c r="K111" s="22">
        <v>75.5</v>
      </c>
      <c r="L111" s="12">
        <v>62.5</v>
      </c>
      <c r="M111" s="54">
        <f>+K111</f>
        <v>75.5</v>
      </c>
      <c r="Q111" s="54" t="e">
        <f>VLOOKUP(B111,Foglio1!AA:AD,2,FALSE)</f>
        <v>#N/A</v>
      </c>
      <c r="R111" s="54" t="e">
        <f>VLOOKUP(B111,Foglio1!AA:AE,5,FALSE)</f>
        <v>#N/A</v>
      </c>
      <c r="T111">
        <f t="shared" si="28"/>
        <v>37750</v>
      </c>
      <c r="U111">
        <f t="shared" si="37"/>
        <v>31250</v>
      </c>
      <c r="V111" s="10"/>
      <c r="W111" s="10">
        <v>45</v>
      </c>
      <c r="AC111" s="44">
        <f>+H111*K111</f>
        <v>906</v>
      </c>
      <c r="AD111" s="44">
        <f>+I111*L111</f>
        <v>1875</v>
      </c>
    </row>
    <row r="112" spans="1:30" x14ac:dyDescent="0.25">
      <c r="M112"/>
      <c r="N112"/>
      <c r="O112"/>
      <c r="P112"/>
      <c r="Q112" s="54" t="e">
        <f>VLOOKUP(B112,Foglio1!AA:AD,2,FALSE)</f>
        <v>#N/A</v>
      </c>
      <c r="R112" s="54" t="e">
        <f>VLOOKUP(B112,Foglio1!AA:AE,5,FALSE)</f>
        <v>#N/A</v>
      </c>
      <c r="T112">
        <f t="shared" si="28"/>
        <v>0</v>
      </c>
      <c r="U112">
        <f t="shared" si="37"/>
        <v>0</v>
      </c>
    </row>
    <row r="113" spans="1:32" ht="45" x14ac:dyDescent="0.25">
      <c r="A113" s="20" t="s">
        <v>0</v>
      </c>
      <c r="B113" s="1" t="s">
        <v>1</v>
      </c>
      <c r="C113" s="5" t="s">
        <v>145</v>
      </c>
      <c r="D113" s="3" t="s">
        <v>202</v>
      </c>
      <c r="E113" s="2" t="s">
        <v>146</v>
      </c>
      <c r="F113" s="3" t="s">
        <v>5</v>
      </c>
      <c r="G113" s="3" t="s">
        <v>111</v>
      </c>
      <c r="H113" s="3" t="s">
        <v>112</v>
      </c>
      <c r="I113" s="3" t="s">
        <v>113</v>
      </c>
      <c r="J113" s="3" t="s">
        <v>114</v>
      </c>
      <c r="K113" s="3" t="s">
        <v>115</v>
      </c>
      <c r="L113" s="3" t="s">
        <v>116</v>
      </c>
      <c r="M113" s="3"/>
      <c r="N113" s="4"/>
      <c r="O113" s="4"/>
      <c r="P113" s="4"/>
      <c r="Q113" s="54" t="e">
        <f>VLOOKUP(B113,Foglio1!AA:AD,2,FALSE)</f>
        <v>#N/A</v>
      </c>
      <c r="R113" s="54" t="e">
        <f>VLOOKUP(B113,Foglio1!AA:AE,5,FALSE)</f>
        <v>#N/A</v>
      </c>
      <c r="T113">
        <f t="shared" si="28"/>
        <v>0</v>
      </c>
      <c r="U113" t="e">
        <f t="shared" si="37"/>
        <v>#VALUE!</v>
      </c>
      <c r="V113" s="3"/>
      <c r="W113" s="5" t="s">
        <v>203</v>
      </c>
    </row>
    <row r="114" spans="1:32" x14ac:dyDescent="0.25">
      <c r="A114" s="10" t="s">
        <v>258</v>
      </c>
      <c r="B114" s="15" t="s">
        <v>259</v>
      </c>
      <c r="C114" s="10" t="s">
        <v>260</v>
      </c>
      <c r="D114" s="2" t="s">
        <v>261</v>
      </c>
      <c r="E114" s="2" t="s">
        <v>244</v>
      </c>
      <c r="F114" s="43" t="s">
        <v>78</v>
      </c>
      <c r="G114" s="16">
        <v>50</v>
      </c>
      <c r="H114" s="2">
        <f t="shared" ref="H114:H116" si="47">+G114*4</f>
        <v>200</v>
      </c>
      <c r="I114" s="2">
        <f t="shared" ref="I114:I116" si="48">+G114*10</f>
        <v>500</v>
      </c>
      <c r="J114" s="10">
        <v>13.7</v>
      </c>
      <c r="K114" s="51">
        <v>6.22</v>
      </c>
      <c r="L114" s="10">
        <v>4.12</v>
      </c>
      <c r="M114" s="54">
        <f>+K114</f>
        <v>6.22</v>
      </c>
      <c r="Q114" s="54" t="e">
        <f>VLOOKUP(B114,Foglio1!AA:AD,2,FALSE)</f>
        <v>#N/A</v>
      </c>
      <c r="R114" s="54" t="e">
        <f>VLOOKUP(B114,Foglio1!AA:AE,5,FALSE)</f>
        <v>#N/A</v>
      </c>
      <c r="T114">
        <f t="shared" si="28"/>
        <v>3110</v>
      </c>
      <c r="U114">
        <f t="shared" si="37"/>
        <v>2060</v>
      </c>
      <c r="V114" s="10"/>
      <c r="W114" s="10">
        <v>30</v>
      </c>
      <c r="AB114" s="44">
        <f t="shared" ref="AB114:AD116" si="49">+G114*J114</f>
        <v>685</v>
      </c>
      <c r="AC114" s="44">
        <f t="shared" si="49"/>
        <v>1244</v>
      </c>
      <c r="AD114" s="44">
        <f t="shared" si="49"/>
        <v>2060</v>
      </c>
    </row>
    <row r="115" spans="1:32" x14ac:dyDescent="0.25">
      <c r="A115" s="10" t="s">
        <v>258</v>
      </c>
      <c r="B115" s="15" t="s">
        <v>262</v>
      </c>
      <c r="C115" s="10" t="s">
        <v>263</v>
      </c>
      <c r="D115" s="2" t="s">
        <v>264</v>
      </c>
      <c r="E115" s="2" t="s">
        <v>244</v>
      </c>
      <c r="F115" s="43" t="s">
        <v>78</v>
      </c>
      <c r="G115" s="16">
        <v>50</v>
      </c>
      <c r="H115" s="2">
        <f t="shared" si="47"/>
        <v>200</v>
      </c>
      <c r="I115" s="2">
        <f t="shared" si="48"/>
        <v>500</v>
      </c>
      <c r="J115" s="10">
        <v>13.7</v>
      </c>
      <c r="K115" s="51">
        <v>6.22</v>
      </c>
      <c r="L115" s="10">
        <v>4.12</v>
      </c>
      <c r="M115" s="54">
        <f>+K115</f>
        <v>6.22</v>
      </c>
      <c r="Q115" s="54" t="e">
        <f>VLOOKUP(B115,Foglio1!AA:AD,2,FALSE)</f>
        <v>#N/A</v>
      </c>
      <c r="R115" s="54" t="e">
        <f>VLOOKUP(B115,Foglio1!AA:AE,5,FALSE)</f>
        <v>#N/A</v>
      </c>
      <c r="T115">
        <f t="shared" si="28"/>
        <v>3110</v>
      </c>
      <c r="U115">
        <f t="shared" si="37"/>
        <v>2060</v>
      </c>
      <c r="V115" s="10"/>
      <c r="W115" s="10">
        <v>30</v>
      </c>
      <c r="AB115" s="44">
        <f t="shared" si="49"/>
        <v>685</v>
      </c>
      <c r="AC115" s="44">
        <f t="shared" si="49"/>
        <v>1244</v>
      </c>
      <c r="AD115" s="44">
        <f t="shared" si="49"/>
        <v>2060</v>
      </c>
    </row>
    <row r="116" spans="1:32" x14ac:dyDescent="0.25">
      <c r="A116" s="10" t="s">
        <v>258</v>
      </c>
      <c r="B116" s="15" t="s">
        <v>265</v>
      </c>
      <c r="C116" s="10" t="s">
        <v>266</v>
      </c>
      <c r="D116" s="2" t="s">
        <v>267</v>
      </c>
      <c r="E116" s="2" t="s">
        <v>244</v>
      </c>
      <c r="F116" s="43" t="s">
        <v>78</v>
      </c>
      <c r="G116" s="16">
        <v>130</v>
      </c>
      <c r="H116" s="2">
        <f t="shared" si="47"/>
        <v>520</v>
      </c>
      <c r="I116" s="2">
        <f t="shared" si="48"/>
        <v>1300</v>
      </c>
      <c r="J116" s="10">
        <v>1.22</v>
      </c>
      <c r="K116" s="13">
        <v>0.33</v>
      </c>
      <c r="L116" s="51">
        <v>0.16</v>
      </c>
      <c r="M116" s="54">
        <f>+L116</f>
        <v>0.16</v>
      </c>
      <c r="Q116" s="54" t="e">
        <f>VLOOKUP(B116,Foglio1!AA:AD,2,FALSE)</f>
        <v>#N/A</v>
      </c>
      <c r="R116" s="54" t="e">
        <f>VLOOKUP(B116,Foglio1!AA:AE,5,FALSE)</f>
        <v>#N/A</v>
      </c>
      <c r="T116">
        <f t="shared" si="28"/>
        <v>80</v>
      </c>
      <c r="U116">
        <f t="shared" si="37"/>
        <v>80</v>
      </c>
      <c r="V116" s="10"/>
      <c r="W116" s="10">
        <v>15</v>
      </c>
      <c r="AB116" s="44">
        <f t="shared" si="49"/>
        <v>158.6</v>
      </c>
      <c r="AC116" s="44">
        <f t="shared" si="49"/>
        <v>171.6</v>
      </c>
      <c r="AD116" s="44">
        <f t="shared" si="49"/>
        <v>208</v>
      </c>
    </row>
    <row r="117" spans="1:32" x14ac:dyDescent="0.25">
      <c r="B117" s="34"/>
      <c r="D117" s="8"/>
      <c r="E117" s="8"/>
      <c r="F117" s="46"/>
      <c r="G117" s="47"/>
      <c r="H117" s="8"/>
      <c r="I117" s="8"/>
      <c r="M117"/>
      <c r="N117"/>
      <c r="O117"/>
      <c r="P117"/>
      <c r="Q117" s="54" t="e">
        <f>VLOOKUP(B117,Foglio1!AA:AD,2,FALSE)</f>
        <v>#N/A</v>
      </c>
      <c r="R117" s="54" t="e">
        <f>VLOOKUP(B117,Foglio1!AA:AE,5,FALSE)</f>
        <v>#N/A</v>
      </c>
      <c r="T117">
        <f t="shared" si="28"/>
        <v>0</v>
      </c>
      <c r="U117">
        <f t="shared" si="37"/>
        <v>0</v>
      </c>
      <c r="AB117" s="44">
        <f>SUM(AB114:AB116)</f>
        <v>1528.6</v>
      </c>
      <c r="AC117" s="44">
        <f>SUM(AC114:AC116)</f>
        <v>2659.6</v>
      </c>
      <c r="AD117" s="44">
        <f>SUM(AD114:AD116)</f>
        <v>4328</v>
      </c>
    </row>
    <row r="118" spans="1:32" x14ac:dyDescent="0.25">
      <c r="M118"/>
      <c r="N118"/>
      <c r="O118"/>
      <c r="P118"/>
      <c r="Q118" s="54" t="e">
        <f>VLOOKUP(B118,Foglio1!AA:AD,2,FALSE)</f>
        <v>#N/A</v>
      </c>
      <c r="R118" s="54" t="e">
        <f>VLOOKUP(B118,Foglio1!AA:AE,5,FALSE)</f>
        <v>#N/A</v>
      </c>
      <c r="T118">
        <f t="shared" si="28"/>
        <v>0</v>
      </c>
      <c r="U118">
        <f t="shared" si="37"/>
        <v>0</v>
      </c>
      <c r="AB118">
        <f>+AB117/50</f>
        <v>30.571999999999999</v>
      </c>
      <c r="AC118">
        <f>+AC117/200</f>
        <v>13.298</v>
      </c>
      <c r="AD118">
        <f>+AD117/500</f>
        <v>8.6560000000000006</v>
      </c>
    </row>
    <row r="119" spans="1:32" ht="45" x14ac:dyDescent="0.25">
      <c r="A119" s="20" t="s">
        <v>0</v>
      </c>
      <c r="B119" s="1" t="s">
        <v>1</v>
      </c>
      <c r="C119" s="5" t="s">
        <v>145</v>
      </c>
      <c r="D119" s="3" t="s">
        <v>202</v>
      </c>
      <c r="E119" s="2" t="s">
        <v>146</v>
      </c>
      <c r="F119" s="3" t="s">
        <v>5</v>
      </c>
      <c r="G119" s="3" t="s">
        <v>111</v>
      </c>
      <c r="H119" s="3" t="s">
        <v>112</v>
      </c>
      <c r="I119" s="3" t="s">
        <v>113</v>
      </c>
      <c r="J119" s="3" t="s">
        <v>114</v>
      </c>
      <c r="K119" s="3" t="s">
        <v>115</v>
      </c>
      <c r="L119" s="3" t="s">
        <v>116</v>
      </c>
      <c r="M119" s="3"/>
      <c r="N119" s="4"/>
      <c r="O119" s="4"/>
      <c r="P119" s="4"/>
      <c r="Q119" s="54" t="e">
        <f>VLOOKUP(B119,Foglio1!AA:AD,2,FALSE)</f>
        <v>#N/A</v>
      </c>
      <c r="R119" s="54" t="e">
        <f>VLOOKUP(B119,Foglio1!AA:AE,5,FALSE)</f>
        <v>#N/A</v>
      </c>
      <c r="T119">
        <f t="shared" si="28"/>
        <v>0</v>
      </c>
      <c r="U119" t="e">
        <f t="shared" si="37"/>
        <v>#VALUE!</v>
      </c>
      <c r="V119" s="3"/>
      <c r="W119" s="5" t="s">
        <v>203</v>
      </c>
    </row>
    <row r="120" spans="1:32" x14ac:dyDescent="0.25">
      <c r="A120" s="10" t="s">
        <v>268</v>
      </c>
      <c r="B120" s="9" t="s">
        <v>269</v>
      </c>
      <c r="C120" s="10" t="s">
        <v>270</v>
      </c>
      <c r="D120" s="2" t="s">
        <v>271</v>
      </c>
      <c r="E120" s="2" t="s">
        <v>244</v>
      </c>
      <c r="F120" s="43" t="s">
        <v>92</v>
      </c>
      <c r="G120" s="16">
        <v>40</v>
      </c>
      <c r="H120" s="16">
        <v>40</v>
      </c>
      <c r="I120" s="16">
        <v>40</v>
      </c>
      <c r="J120" s="13">
        <v>5</v>
      </c>
      <c r="K120" s="10">
        <v>5</v>
      </c>
      <c r="L120" s="51">
        <v>5</v>
      </c>
      <c r="M120" s="54">
        <f>+L120</f>
        <v>5</v>
      </c>
      <c r="Q120" s="54" t="e">
        <f>VLOOKUP(B120,Foglio1!AA:AD,2,FALSE)</f>
        <v>#N/A</v>
      </c>
      <c r="R120" s="54" t="e">
        <f>VLOOKUP(B120,Foglio1!AA:AE,5,FALSE)</f>
        <v>#N/A</v>
      </c>
      <c r="T120">
        <f t="shared" si="28"/>
        <v>2500</v>
      </c>
      <c r="U120">
        <f t="shared" si="37"/>
        <v>2500</v>
      </c>
      <c r="V120" s="10"/>
      <c r="W120" s="10"/>
      <c r="AB120">
        <f t="shared" ref="AB120:AD123" si="50">+G120*J120</f>
        <v>200</v>
      </c>
      <c r="AC120">
        <f t="shared" si="50"/>
        <v>200</v>
      </c>
      <c r="AD120">
        <f t="shared" si="50"/>
        <v>200</v>
      </c>
    </row>
    <row r="121" spans="1:32" x14ac:dyDescent="0.25">
      <c r="A121" s="10" t="s">
        <v>268</v>
      </c>
      <c r="B121" s="48" t="s">
        <v>272</v>
      </c>
      <c r="C121" s="10" t="s">
        <v>273</v>
      </c>
      <c r="D121" s="2" t="s">
        <v>274</v>
      </c>
      <c r="E121" s="2" t="s">
        <v>244</v>
      </c>
      <c r="F121" s="3" t="s">
        <v>78</v>
      </c>
      <c r="G121" s="16">
        <v>460</v>
      </c>
      <c r="H121" s="2">
        <f t="shared" ref="H121:H123" si="51">+G121*4</f>
        <v>1840</v>
      </c>
      <c r="I121" s="2">
        <f t="shared" ref="I121:I123" si="52">+G121*10</f>
        <v>4600</v>
      </c>
      <c r="J121" s="10">
        <v>1.3</v>
      </c>
      <c r="K121" s="13">
        <v>0.79</v>
      </c>
      <c r="L121" s="51">
        <v>0.68</v>
      </c>
      <c r="M121" s="54">
        <f>+L121</f>
        <v>0.68</v>
      </c>
      <c r="Q121" s="54" t="e">
        <f>VLOOKUP(B121,Foglio1!AA:AD,2,FALSE)</f>
        <v>#N/A</v>
      </c>
      <c r="R121" s="54" t="e">
        <f>VLOOKUP(B121,Foglio1!AA:AE,5,FALSE)</f>
        <v>#N/A</v>
      </c>
      <c r="T121">
        <f t="shared" si="28"/>
        <v>340</v>
      </c>
      <c r="U121">
        <f t="shared" si="37"/>
        <v>340</v>
      </c>
      <c r="V121" s="10"/>
      <c r="W121" s="10"/>
      <c r="AB121">
        <f t="shared" si="50"/>
        <v>598</v>
      </c>
      <c r="AC121">
        <f t="shared" si="50"/>
        <v>1453.6000000000001</v>
      </c>
      <c r="AD121">
        <f t="shared" si="50"/>
        <v>3128</v>
      </c>
      <c r="AE121">
        <f>+K121*I121</f>
        <v>3634</v>
      </c>
      <c r="AF121">
        <f>+H121*L121</f>
        <v>1251.2</v>
      </c>
    </row>
    <row r="122" spans="1:32" x14ac:dyDescent="0.25">
      <c r="A122" s="10" t="s">
        <v>268</v>
      </c>
      <c r="B122" s="48" t="s">
        <v>275</v>
      </c>
      <c r="C122" s="10" t="s">
        <v>276</v>
      </c>
      <c r="D122" s="2" t="s">
        <v>277</v>
      </c>
      <c r="E122" s="2" t="s">
        <v>244</v>
      </c>
      <c r="F122" s="16" t="s">
        <v>78</v>
      </c>
      <c r="G122" s="16">
        <v>16</v>
      </c>
      <c r="H122" s="2">
        <f t="shared" si="51"/>
        <v>64</v>
      </c>
      <c r="I122" s="2">
        <f t="shared" si="52"/>
        <v>160</v>
      </c>
      <c r="J122" s="13">
        <v>6</v>
      </c>
      <c r="K122" s="10">
        <v>3.5</v>
      </c>
      <c r="L122" s="51">
        <v>3</v>
      </c>
      <c r="M122" s="54">
        <f>+L122</f>
        <v>3</v>
      </c>
      <c r="Q122" s="54" t="e">
        <f>VLOOKUP(B122,Foglio1!AA:AD,2,FALSE)</f>
        <v>#N/A</v>
      </c>
      <c r="R122" s="54" t="e">
        <f>VLOOKUP(B122,Foglio1!AA:AE,5,FALSE)</f>
        <v>#N/A</v>
      </c>
      <c r="T122">
        <f t="shared" si="28"/>
        <v>1500</v>
      </c>
      <c r="U122">
        <f t="shared" si="37"/>
        <v>1500</v>
      </c>
      <c r="V122" s="10"/>
      <c r="W122" s="10"/>
      <c r="AB122">
        <f t="shared" si="50"/>
        <v>96</v>
      </c>
      <c r="AC122">
        <f t="shared" si="50"/>
        <v>224</v>
      </c>
      <c r="AD122">
        <f t="shared" si="50"/>
        <v>480</v>
      </c>
    </row>
    <row r="123" spans="1:32" x14ac:dyDescent="0.25">
      <c r="A123" s="10" t="s">
        <v>268</v>
      </c>
      <c r="B123" s="9" t="s">
        <v>278</v>
      </c>
      <c r="C123" s="10" t="s">
        <v>279</v>
      </c>
      <c r="D123" s="2" t="s">
        <v>280</v>
      </c>
      <c r="E123" s="2" t="s">
        <v>244</v>
      </c>
      <c r="F123" s="16" t="s">
        <v>92</v>
      </c>
      <c r="G123" s="10">
        <v>40</v>
      </c>
      <c r="H123" s="2">
        <f t="shared" si="51"/>
        <v>160</v>
      </c>
      <c r="I123" s="2">
        <f t="shared" si="52"/>
        <v>400</v>
      </c>
      <c r="J123" s="10">
        <v>5</v>
      </c>
      <c r="K123" s="13">
        <v>3</v>
      </c>
      <c r="L123" s="51">
        <v>2.2999999999999998</v>
      </c>
      <c r="M123" s="54">
        <f>+L123</f>
        <v>2.2999999999999998</v>
      </c>
      <c r="Q123" s="54" t="e">
        <f>VLOOKUP(B123,Foglio1!AA:AD,2,FALSE)</f>
        <v>#N/A</v>
      </c>
      <c r="R123" s="54" t="e">
        <f>VLOOKUP(B123,Foglio1!AA:AE,5,FALSE)</f>
        <v>#N/A</v>
      </c>
      <c r="T123">
        <f t="shared" si="28"/>
        <v>1150</v>
      </c>
      <c r="U123">
        <f t="shared" si="37"/>
        <v>1150</v>
      </c>
      <c r="V123" s="10"/>
      <c r="W123" s="10"/>
      <c r="AB123">
        <f t="shared" si="50"/>
        <v>200</v>
      </c>
      <c r="AC123">
        <f t="shared" si="50"/>
        <v>480</v>
      </c>
      <c r="AD123">
        <f t="shared" si="50"/>
        <v>919.99999999999989</v>
      </c>
    </row>
    <row r="124" spans="1:32" x14ac:dyDescent="0.25">
      <c r="M124"/>
      <c r="N124"/>
      <c r="O124"/>
      <c r="P124"/>
      <c r="Q124" s="54" t="e">
        <f>VLOOKUP(B124,Foglio1!AA:AD,2,FALSE)</f>
        <v>#N/A</v>
      </c>
      <c r="R124" s="54" t="e">
        <f>VLOOKUP(B124,Foglio1!AA:AE,5,FALSE)</f>
        <v>#N/A</v>
      </c>
      <c r="T124">
        <f t="shared" si="28"/>
        <v>0</v>
      </c>
      <c r="U124">
        <f t="shared" si="37"/>
        <v>0</v>
      </c>
      <c r="AB124">
        <f>SUM(AB120:AB123)</f>
        <v>1094</v>
      </c>
      <c r="AC124">
        <f>SUM(AC120:AC123)</f>
        <v>2357.6000000000004</v>
      </c>
      <c r="AD124">
        <f>SUM(AD120:AD123)</f>
        <v>4728</v>
      </c>
    </row>
    <row r="125" spans="1:32" x14ac:dyDescent="0.25">
      <c r="M125"/>
      <c r="N125"/>
      <c r="O125"/>
      <c r="P125"/>
      <c r="Q125" s="54" t="e">
        <f>VLOOKUP(B125,Foglio1!AA:AD,2,FALSE)</f>
        <v>#N/A</v>
      </c>
      <c r="R125" s="54" t="e">
        <f>VLOOKUP(B125,Foglio1!AA:AE,5,FALSE)</f>
        <v>#N/A</v>
      </c>
      <c r="T125">
        <f t="shared" ref="T125:T152" si="53">+M125*500</f>
        <v>0</v>
      </c>
      <c r="U125">
        <f t="shared" ref="U125:U152" si="54">+L125*500</f>
        <v>0</v>
      </c>
      <c r="AB125">
        <f>+AB124/50</f>
        <v>21.88</v>
      </c>
      <c r="AC125">
        <f>+AC124/200</f>
        <v>11.788000000000002</v>
      </c>
      <c r="AD125">
        <f>+AD124/500</f>
        <v>9.4559999999999995</v>
      </c>
    </row>
    <row r="126" spans="1:32" ht="45" x14ac:dyDescent="0.25">
      <c r="A126" s="20" t="s">
        <v>0</v>
      </c>
      <c r="B126" s="1" t="s">
        <v>1</v>
      </c>
      <c r="C126" s="5" t="s">
        <v>145</v>
      </c>
      <c r="D126" s="3" t="s">
        <v>202</v>
      </c>
      <c r="E126" s="2" t="s">
        <v>146</v>
      </c>
      <c r="F126" s="3" t="s">
        <v>5</v>
      </c>
      <c r="G126" s="3" t="s">
        <v>111</v>
      </c>
      <c r="H126" s="3" t="s">
        <v>112</v>
      </c>
      <c r="I126" s="3" t="s">
        <v>113</v>
      </c>
      <c r="J126" s="3" t="s">
        <v>114</v>
      </c>
      <c r="K126" s="3" t="s">
        <v>115</v>
      </c>
      <c r="L126" s="3" t="s">
        <v>116</v>
      </c>
      <c r="M126" s="3"/>
      <c r="N126" s="4"/>
      <c r="O126" s="4"/>
      <c r="P126" s="4"/>
      <c r="Q126" s="54" t="e">
        <f>VLOOKUP(B126,Foglio1!AA:AD,2,FALSE)</f>
        <v>#N/A</v>
      </c>
      <c r="R126" s="54" t="e">
        <f>VLOOKUP(B126,Foglio1!AA:AE,5,FALSE)</f>
        <v>#N/A</v>
      </c>
      <c r="T126">
        <f t="shared" si="53"/>
        <v>0</v>
      </c>
      <c r="U126" t="e">
        <f t="shared" si="54"/>
        <v>#VALUE!</v>
      </c>
      <c r="V126" s="3"/>
      <c r="W126" s="5" t="s">
        <v>203</v>
      </c>
    </row>
    <row r="127" spans="1:32" x14ac:dyDescent="0.25">
      <c r="A127" s="2" t="s">
        <v>281</v>
      </c>
      <c r="B127" s="9" t="s">
        <v>282</v>
      </c>
      <c r="C127" s="10" t="s">
        <v>283</v>
      </c>
      <c r="D127" s="2" t="s">
        <v>284</v>
      </c>
      <c r="E127" s="11" t="s">
        <v>285</v>
      </c>
      <c r="F127" s="16" t="s">
        <v>78</v>
      </c>
      <c r="G127" s="12">
        <v>15</v>
      </c>
      <c r="H127" s="2">
        <f t="shared" ref="H127:H147" si="55">+G127*4</f>
        <v>60</v>
      </c>
      <c r="I127" s="2">
        <f t="shared" ref="I127:I147" si="56">+G127*10</f>
        <v>150</v>
      </c>
      <c r="J127" s="10">
        <v>5.23</v>
      </c>
      <c r="K127" s="10">
        <v>3.2</v>
      </c>
      <c r="L127" s="51">
        <v>2.92</v>
      </c>
      <c r="M127" s="54">
        <f>+L127</f>
        <v>2.92</v>
      </c>
      <c r="N127" s="54">
        <v>0.27</v>
      </c>
      <c r="Q127" s="54" t="e">
        <f>VLOOKUP(B127,Foglio1!AA:AD,2,FALSE)</f>
        <v>#N/A</v>
      </c>
      <c r="R127" s="54" t="e">
        <f>VLOOKUP(B127,Foglio1!AA:AE,5,FALSE)</f>
        <v>#N/A</v>
      </c>
      <c r="T127">
        <f t="shared" si="53"/>
        <v>1460</v>
      </c>
      <c r="U127">
        <f t="shared" si="54"/>
        <v>1460</v>
      </c>
      <c r="V127" s="10"/>
      <c r="W127" s="10">
        <v>40</v>
      </c>
      <c r="AB127">
        <f t="shared" ref="AB127:AB147" si="57">+G127*J127</f>
        <v>78.45</v>
      </c>
      <c r="AC127">
        <f t="shared" ref="AC127:AC147" si="58">+H127*K127</f>
        <v>192</v>
      </c>
      <c r="AD127">
        <f t="shared" ref="AD127:AD147" si="59">+I127*L127</f>
        <v>438</v>
      </c>
    </row>
    <row r="128" spans="1:32" x14ac:dyDescent="0.25">
      <c r="A128" s="2" t="s">
        <v>281</v>
      </c>
      <c r="B128" s="9" t="s">
        <v>286</v>
      </c>
      <c r="C128" s="10" t="s">
        <v>287</v>
      </c>
      <c r="D128" s="2" t="s">
        <v>288</v>
      </c>
      <c r="E128" s="11" t="s">
        <v>285</v>
      </c>
      <c r="F128" s="16" t="s">
        <v>78</v>
      </c>
      <c r="G128" s="12">
        <v>15</v>
      </c>
      <c r="H128" s="2">
        <f t="shared" si="55"/>
        <v>60</v>
      </c>
      <c r="I128" s="2">
        <f t="shared" si="56"/>
        <v>150</v>
      </c>
      <c r="J128" s="10">
        <v>5.23</v>
      </c>
      <c r="K128" s="10">
        <v>3.2</v>
      </c>
      <c r="L128" s="51">
        <v>2.92</v>
      </c>
      <c r="M128" s="54">
        <f>+L128</f>
        <v>2.92</v>
      </c>
      <c r="N128" s="54">
        <v>0.27</v>
      </c>
      <c r="Q128" s="54" t="e">
        <f>VLOOKUP(B128,Foglio1!AA:AD,2,FALSE)</f>
        <v>#N/A</v>
      </c>
      <c r="R128" s="54" t="e">
        <f>VLOOKUP(B128,Foglio1!AA:AE,5,FALSE)</f>
        <v>#N/A</v>
      </c>
      <c r="T128">
        <f t="shared" si="53"/>
        <v>1460</v>
      </c>
      <c r="U128">
        <f t="shared" si="54"/>
        <v>1460</v>
      </c>
      <c r="V128" s="10"/>
      <c r="W128" s="10">
        <v>40</v>
      </c>
      <c r="AB128">
        <f t="shared" si="57"/>
        <v>78.45</v>
      </c>
      <c r="AC128">
        <f t="shared" si="58"/>
        <v>192</v>
      </c>
      <c r="AD128">
        <f t="shared" si="59"/>
        <v>438</v>
      </c>
    </row>
    <row r="129" spans="1:30" x14ac:dyDescent="0.25">
      <c r="A129" s="2" t="s">
        <v>281</v>
      </c>
      <c r="B129" s="9" t="s">
        <v>289</v>
      </c>
      <c r="C129" s="10" t="s">
        <v>290</v>
      </c>
      <c r="D129" s="2" t="s">
        <v>291</v>
      </c>
      <c r="E129" s="11" t="s">
        <v>30</v>
      </c>
      <c r="F129" s="16" t="s">
        <v>78</v>
      </c>
      <c r="G129" s="12">
        <v>60</v>
      </c>
      <c r="H129" s="2">
        <f t="shared" si="55"/>
        <v>240</v>
      </c>
      <c r="I129" s="2">
        <f t="shared" si="56"/>
        <v>600</v>
      </c>
      <c r="J129" s="10">
        <v>2.78</v>
      </c>
      <c r="K129" s="10">
        <v>2.5099999999999998</v>
      </c>
      <c r="L129" s="51">
        <v>2.44</v>
      </c>
      <c r="M129" s="54">
        <f>+L129</f>
        <v>2.44</v>
      </c>
      <c r="N129" s="54">
        <v>0.3</v>
      </c>
      <c r="O129" s="54" t="s">
        <v>559</v>
      </c>
      <c r="Q129" s="54" t="e">
        <f>VLOOKUP(B129,Foglio1!AA:AD,2,FALSE)</f>
        <v>#N/A</v>
      </c>
      <c r="R129" s="54" t="e">
        <f>VLOOKUP(B129,Foglio1!AA:AE,5,FALSE)</f>
        <v>#N/A</v>
      </c>
      <c r="T129">
        <f t="shared" si="53"/>
        <v>1220</v>
      </c>
      <c r="U129">
        <f t="shared" si="54"/>
        <v>1220</v>
      </c>
      <c r="V129" s="10"/>
      <c r="W129" s="10">
        <v>40</v>
      </c>
      <c r="AB129">
        <f t="shared" si="57"/>
        <v>166.79999999999998</v>
      </c>
      <c r="AC129">
        <f t="shared" si="58"/>
        <v>602.4</v>
      </c>
      <c r="AD129">
        <f t="shared" si="59"/>
        <v>1464</v>
      </c>
    </row>
    <row r="130" spans="1:30" x14ac:dyDescent="0.25">
      <c r="A130" s="2" t="s">
        <v>281</v>
      </c>
      <c r="B130" s="9" t="s">
        <v>292</v>
      </c>
      <c r="C130" s="10" t="s">
        <v>293</v>
      </c>
      <c r="D130" s="2" t="s">
        <v>294</v>
      </c>
      <c r="E130" s="11" t="s">
        <v>30</v>
      </c>
      <c r="F130" s="16" t="s">
        <v>78</v>
      </c>
      <c r="G130" s="12">
        <v>60</v>
      </c>
      <c r="H130" s="2">
        <f t="shared" si="55"/>
        <v>240</v>
      </c>
      <c r="I130" s="2">
        <f t="shared" si="56"/>
        <v>600</v>
      </c>
      <c r="J130" s="10">
        <v>3.05</v>
      </c>
      <c r="K130" s="10">
        <v>2.7</v>
      </c>
      <c r="L130" s="51">
        <v>2.62</v>
      </c>
      <c r="M130" s="54">
        <f>+L130</f>
        <v>2.62</v>
      </c>
      <c r="N130" s="54">
        <v>0.3</v>
      </c>
      <c r="O130" s="54" t="s">
        <v>559</v>
      </c>
      <c r="Q130" s="54" t="e">
        <f>VLOOKUP(B130,Foglio1!AA:AD,2,FALSE)</f>
        <v>#N/A</v>
      </c>
      <c r="R130" s="54" t="e">
        <f>VLOOKUP(B130,Foglio1!AA:AE,5,FALSE)</f>
        <v>#N/A</v>
      </c>
      <c r="T130">
        <f t="shared" si="53"/>
        <v>1310</v>
      </c>
      <c r="U130">
        <f t="shared" si="54"/>
        <v>1310</v>
      </c>
      <c r="V130" s="10"/>
      <c r="W130" s="10">
        <v>40</v>
      </c>
      <c r="AB130">
        <f t="shared" si="57"/>
        <v>183</v>
      </c>
      <c r="AC130">
        <f t="shared" si="58"/>
        <v>648</v>
      </c>
      <c r="AD130">
        <f t="shared" si="59"/>
        <v>1572</v>
      </c>
    </row>
    <row r="131" spans="1:30" x14ac:dyDescent="0.25">
      <c r="A131" s="2" t="s">
        <v>281</v>
      </c>
      <c r="B131" s="9" t="s">
        <v>295</v>
      </c>
      <c r="C131" s="10" t="s">
        <v>296</v>
      </c>
      <c r="D131" s="2" t="s">
        <v>297</v>
      </c>
      <c r="E131" s="11" t="s">
        <v>30</v>
      </c>
      <c r="F131" s="16" t="s">
        <v>78</v>
      </c>
      <c r="G131" s="12">
        <v>600</v>
      </c>
      <c r="H131" s="2">
        <f t="shared" si="55"/>
        <v>2400</v>
      </c>
      <c r="I131" s="2">
        <f t="shared" si="56"/>
        <v>6000</v>
      </c>
      <c r="J131" s="10">
        <v>1.44</v>
      </c>
      <c r="K131" s="51">
        <v>1.41</v>
      </c>
      <c r="L131" s="10">
        <v>1.4</v>
      </c>
      <c r="M131" s="54">
        <f t="shared" ref="M131:M136" si="60">+K131</f>
        <v>1.41</v>
      </c>
      <c r="N131" s="54">
        <v>0.5</v>
      </c>
      <c r="Q131" s="54" t="e">
        <f>VLOOKUP(B131,Foglio1!AA:AD,2,FALSE)</f>
        <v>#N/A</v>
      </c>
      <c r="R131" s="54" t="e">
        <f>VLOOKUP(B131,Foglio1!AA:AE,5,FALSE)</f>
        <v>#N/A</v>
      </c>
      <c r="T131">
        <f t="shared" si="53"/>
        <v>705</v>
      </c>
      <c r="U131">
        <f t="shared" si="54"/>
        <v>700</v>
      </c>
      <c r="V131" s="10"/>
      <c r="W131" s="10">
        <v>40</v>
      </c>
      <c r="AB131">
        <f t="shared" si="57"/>
        <v>864</v>
      </c>
      <c r="AC131">
        <f t="shared" si="58"/>
        <v>3384</v>
      </c>
      <c r="AD131">
        <f t="shared" si="59"/>
        <v>8400</v>
      </c>
    </row>
    <row r="132" spans="1:30" x14ac:dyDescent="0.25">
      <c r="A132" s="2" t="s">
        <v>281</v>
      </c>
      <c r="B132" s="9" t="s">
        <v>298</v>
      </c>
      <c r="C132" s="10" t="s">
        <v>299</v>
      </c>
      <c r="D132" s="2" t="s">
        <v>300</v>
      </c>
      <c r="E132" s="11" t="s">
        <v>30</v>
      </c>
      <c r="F132" s="16" t="s">
        <v>78</v>
      </c>
      <c r="G132" s="12">
        <v>60</v>
      </c>
      <c r="H132" s="2">
        <f t="shared" si="55"/>
        <v>240</v>
      </c>
      <c r="I132" s="2">
        <f t="shared" si="56"/>
        <v>600</v>
      </c>
      <c r="J132" s="10">
        <v>2.6</v>
      </c>
      <c r="K132" s="51">
        <v>2.2799999999999998</v>
      </c>
      <c r="L132" s="10">
        <v>2.21</v>
      </c>
      <c r="M132" s="54">
        <f t="shared" si="60"/>
        <v>2.2799999999999998</v>
      </c>
      <c r="N132" s="54">
        <v>0.5</v>
      </c>
      <c r="O132" s="54" t="s">
        <v>559</v>
      </c>
      <c r="Q132" s="54" t="e">
        <f>VLOOKUP(B132,Foglio1!AA:AD,2,FALSE)</f>
        <v>#N/A</v>
      </c>
      <c r="R132" s="54" t="e">
        <f>VLOOKUP(B132,Foglio1!AA:AE,5,FALSE)</f>
        <v>#N/A</v>
      </c>
      <c r="T132">
        <f t="shared" si="53"/>
        <v>1140</v>
      </c>
      <c r="U132">
        <f t="shared" si="54"/>
        <v>1105</v>
      </c>
      <c r="V132" s="10"/>
      <c r="W132" s="10">
        <v>40</v>
      </c>
      <c r="AB132">
        <f t="shared" si="57"/>
        <v>156</v>
      </c>
      <c r="AC132">
        <f t="shared" si="58"/>
        <v>547.19999999999993</v>
      </c>
      <c r="AD132">
        <f t="shared" si="59"/>
        <v>1326</v>
      </c>
    </row>
    <row r="133" spans="1:30" x14ac:dyDescent="0.25">
      <c r="A133" s="2" t="s">
        <v>281</v>
      </c>
      <c r="B133" s="9" t="s">
        <v>301</v>
      </c>
      <c r="C133" s="10" t="s">
        <v>302</v>
      </c>
      <c r="D133" s="2" t="s">
        <v>303</v>
      </c>
      <c r="E133" s="11" t="s">
        <v>285</v>
      </c>
      <c r="F133" s="16" t="s">
        <v>78</v>
      </c>
      <c r="G133" s="12">
        <v>100</v>
      </c>
      <c r="H133" s="2">
        <f t="shared" si="55"/>
        <v>400</v>
      </c>
      <c r="I133" s="2">
        <f t="shared" si="56"/>
        <v>1000</v>
      </c>
      <c r="J133" s="10">
        <v>1.18</v>
      </c>
      <c r="K133" s="51">
        <v>1.04</v>
      </c>
      <c r="L133" s="10">
        <v>1.02</v>
      </c>
      <c r="M133" s="54">
        <f t="shared" si="60"/>
        <v>1.04</v>
      </c>
      <c r="N133" s="54">
        <v>0.25</v>
      </c>
      <c r="Q133" s="54" t="e">
        <f>VLOOKUP(B133,Foglio1!AA:AD,2,FALSE)</f>
        <v>#N/A</v>
      </c>
      <c r="R133" s="54" t="e">
        <f>VLOOKUP(B133,Foglio1!AA:AE,5,FALSE)</f>
        <v>#N/A</v>
      </c>
      <c r="T133">
        <f t="shared" si="53"/>
        <v>520</v>
      </c>
      <c r="U133">
        <f t="shared" si="54"/>
        <v>510</v>
      </c>
      <c r="V133" s="10"/>
      <c r="W133" s="10">
        <v>40</v>
      </c>
      <c r="AB133">
        <f t="shared" si="57"/>
        <v>118</v>
      </c>
      <c r="AC133">
        <f t="shared" si="58"/>
        <v>416</v>
      </c>
      <c r="AD133">
        <f t="shared" si="59"/>
        <v>1020</v>
      </c>
    </row>
    <row r="134" spans="1:30" x14ac:dyDescent="0.25">
      <c r="A134" s="2" t="s">
        <v>281</v>
      </c>
      <c r="B134" s="9" t="s">
        <v>304</v>
      </c>
      <c r="C134" s="10" t="s">
        <v>305</v>
      </c>
      <c r="D134" s="2" t="s">
        <v>306</v>
      </c>
      <c r="E134" s="11" t="s">
        <v>30</v>
      </c>
      <c r="F134" s="16" t="s">
        <v>78</v>
      </c>
      <c r="G134" s="12">
        <v>90</v>
      </c>
      <c r="H134" s="2">
        <f t="shared" si="55"/>
        <v>360</v>
      </c>
      <c r="I134" s="2">
        <f t="shared" si="56"/>
        <v>900</v>
      </c>
      <c r="J134" s="10">
        <v>1.58</v>
      </c>
      <c r="K134" s="51">
        <v>1.31</v>
      </c>
      <c r="L134" s="10">
        <v>1.26</v>
      </c>
      <c r="M134" s="54">
        <f t="shared" si="60"/>
        <v>1.31</v>
      </c>
      <c r="N134" s="54">
        <v>0.28000000000000003</v>
      </c>
      <c r="Q134" s="54" t="e">
        <f>VLOOKUP(B134,Foglio1!AA:AD,2,FALSE)</f>
        <v>#N/A</v>
      </c>
      <c r="R134" s="54" t="e">
        <f>VLOOKUP(B134,Foglio1!AA:AE,5,FALSE)</f>
        <v>#N/A</v>
      </c>
      <c r="T134">
        <f t="shared" si="53"/>
        <v>655</v>
      </c>
      <c r="U134">
        <f t="shared" si="54"/>
        <v>630</v>
      </c>
      <c r="V134" s="10"/>
      <c r="W134" s="10">
        <v>40</v>
      </c>
      <c r="AB134">
        <f t="shared" si="57"/>
        <v>142.20000000000002</v>
      </c>
      <c r="AC134">
        <f t="shared" si="58"/>
        <v>471.6</v>
      </c>
      <c r="AD134">
        <f t="shared" si="59"/>
        <v>1134</v>
      </c>
    </row>
    <row r="135" spans="1:30" x14ac:dyDescent="0.25">
      <c r="A135" s="2" t="s">
        <v>281</v>
      </c>
      <c r="B135" s="9" t="s">
        <v>307</v>
      </c>
      <c r="C135" s="10" t="s">
        <v>308</v>
      </c>
      <c r="D135" s="2" t="s">
        <v>309</v>
      </c>
      <c r="E135" s="11" t="s">
        <v>53</v>
      </c>
      <c r="F135" s="16" t="s">
        <v>78</v>
      </c>
      <c r="G135" s="12">
        <v>130</v>
      </c>
      <c r="H135" s="2">
        <f t="shared" si="55"/>
        <v>520</v>
      </c>
      <c r="I135" s="2">
        <f t="shared" si="56"/>
        <v>1300</v>
      </c>
      <c r="J135" s="10">
        <v>0.48</v>
      </c>
      <c r="K135" s="51">
        <v>0.38</v>
      </c>
      <c r="L135" s="10">
        <v>0.36499999999999999</v>
      </c>
      <c r="M135" s="54">
        <f t="shared" si="60"/>
        <v>0.38</v>
      </c>
      <c r="N135" s="54" t="s">
        <v>362</v>
      </c>
      <c r="O135" s="54" t="s">
        <v>559</v>
      </c>
      <c r="Q135" s="54" t="e">
        <f>VLOOKUP(B135,Foglio1!AA:AD,2,FALSE)</f>
        <v>#N/A</v>
      </c>
      <c r="R135" s="54" t="e">
        <f>VLOOKUP(B135,Foglio1!AA:AE,5,FALSE)</f>
        <v>#N/A</v>
      </c>
      <c r="T135">
        <f t="shared" si="53"/>
        <v>190</v>
      </c>
      <c r="U135">
        <f t="shared" si="54"/>
        <v>182.5</v>
      </c>
      <c r="V135" s="10"/>
      <c r="W135" s="10">
        <v>40</v>
      </c>
      <c r="AB135">
        <f t="shared" si="57"/>
        <v>62.4</v>
      </c>
      <c r="AC135">
        <f t="shared" si="58"/>
        <v>197.6</v>
      </c>
      <c r="AD135">
        <f t="shared" si="59"/>
        <v>474.5</v>
      </c>
    </row>
    <row r="136" spans="1:30" x14ac:dyDescent="0.25">
      <c r="A136" s="2" t="s">
        <v>281</v>
      </c>
      <c r="B136" s="9" t="s">
        <v>310</v>
      </c>
      <c r="C136" s="10" t="s">
        <v>311</v>
      </c>
      <c r="D136" s="2" t="s">
        <v>312</v>
      </c>
      <c r="E136" s="11" t="s">
        <v>285</v>
      </c>
      <c r="F136" s="43" t="s">
        <v>92</v>
      </c>
      <c r="G136" s="12">
        <v>50</v>
      </c>
      <c r="H136" s="2">
        <f t="shared" si="55"/>
        <v>200</v>
      </c>
      <c r="I136" s="2">
        <f t="shared" si="56"/>
        <v>500</v>
      </c>
      <c r="J136" s="10">
        <v>1.3</v>
      </c>
      <c r="K136" s="51">
        <v>1</v>
      </c>
      <c r="L136" s="10">
        <v>0.94</v>
      </c>
      <c r="M136" s="54">
        <f t="shared" si="60"/>
        <v>1</v>
      </c>
      <c r="N136" s="54">
        <v>0.3</v>
      </c>
      <c r="O136" s="54" t="s">
        <v>559</v>
      </c>
      <c r="Q136" s="54" t="e">
        <f>VLOOKUP(B136,Foglio1!AA:AD,2,FALSE)</f>
        <v>#N/A</v>
      </c>
      <c r="R136" s="54" t="e">
        <f>VLOOKUP(B136,Foglio1!AA:AE,5,FALSE)</f>
        <v>#N/A</v>
      </c>
      <c r="T136">
        <f t="shared" si="53"/>
        <v>500</v>
      </c>
      <c r="U136">
        <f t="shared" si="54"/>
        <v>470</v>
      </c>
      <c r="V136" s="10"/>
      <c r="W136" s="10">
        <v>40</v>
      </c>
      <c r="AB136">
        <f t="shared" si="57"/>
        <v>65</v>
      </c>
      <c r="AC136">
        <f t="shared" si="58"/>
        <v>200</v>
      </c>
      <c r="AD136">
        <f t="shared" si="59"/>
        <v>470</v>
      </c>
    </row>
    <row r="137" spans="1:30" x14ac:dyDescent="0.25">
      <c r="A137" s="2" t="s">
        <v>281</v>
      </c>
      <c r="B137" s="9" t="s">
        <v>313</v>
      </c>
      <c r="C137" s="10" t="s">
        <v>314</v>
      </c>
      <c r="D137" s="2" t="s">
        <v>315</v>
      </c>
      <c r="E137" s="11" t="s">
        <v>30</v>
      </c>
      <c r="F137" s="16" t="s">
        <v>78</v>
      </c>
      <c r="G137" s="12">
        <v>5</v>
      </c>
      <c r="H137" s="2">
        <f t="shared" si="55"/>
        <v>20</v>
      </c>
      <c r="I137" s="2">
        <f t="shared" si="56"/>
        <v>50</v>
      </c>
      <c r="J137" s="10">
        <v>7.4</v>
      </c>
      <c r="K137" s="10">
        <v>4.2</v>
      </c>
      <c r="L137" s="51">
        <v>3.57</v>
      </c>
      <c r="M137" s="54">
        <f t="shared" ref="M137:M147" si="61">+L137</f>
        <v>3.57</v>
      </c>
      <c r="N137" s="54" t="s">
        <v>560</v>
      </c>
      <c r="O137" s="54" t="s">
        <v>559</v>
      </c>
      <c r="Q137" s="54" t="e">
        <f>VLOOKUP(B137,Foglio1!AA:AD,2,FALSE)</f>
        <v>#N/A</v>
      </c>
      <c r="R137" s="54" t="e">
        <f>VLOOKUP(B137,Foglio1!AA:AE,5,FALSE)</f>
        <v>#N/A</v>
      </c>
      <c r="T137">
        <f t="shared" si="53"/>
        <v>1785</v>
      </c>
      <c r="U137">
        <f t="shared" si="54"/>
        <v>1785</v>
      </c>
      <c r="V137" s="10"/>
      <c r="W137" s="10">
        <v>40</v>
      </c>
      <c r="AB137">
        <f t="shared" si="57"/>
        <v>37</v>
      </c>
      <c r="AC137">
        <f t="shared" si="58"/>
        <v>84</v>
      </c>
      <c r="AD137">
        <f t="shared" si="59"/>
        <v>178.5</v>
      </c>
    </row>
    <row r="138" spans="1:30" x14ac:dyDescent="0.25">
      <c r="A138" s="2" t="s">
        <v>281</v>
      </c>
      <c r="B138" s="9" t="s">
        <v>316</v>
      </c>
      <c r="C138" s="10" t="s">
        <v>317</v>
      </c>
      <c r="D138" s="2" t="s">
        <v>318</v>
      </c>
      <c r="E138" s="11" t="s">
        <v>30</v>
      </c>
      <c r="F138" s="16" t="s">
        <v>78</v>
      </c>
      <c r="G138" s="12">
        <v>20</v>
      </c>
      <c r="H138" s="2">
        <f t="shared" si="55"/>
        <v>80</v>
      </c>
      <c r="I138" s="2">
        <f t="shared" si="56"/>
        <v>200</v>
      </c>
      <c r="J138" s="10">
        <v>3.7</v>
      </c>
      <c r="K138" s="10">
        <v>2.9</v>
      </c>
      <c r="L138" s="51">
        <v>2.74</v>
      </c>
      <c r="M138" s="54">
        <f t="shared" si="61"/>
        <v>2.74</v>
      </c>
      <c r="N138" s="54">
        <v>0.25</v>
      </c>
      <c r="Q138" s="54" t="e">
        <f>VLOOKUP(B138,Foglio1!AA:AD,2,FALSE)</f>
        <v>#N/A</v>
      </c>
      <c r="R138" s="54" t="e">
        <f>VLOOKUP(B138,Foglio1!AA:AE,5,FALSE)</f>
        <v>#N/A</v>
      </c>
      <c r="T138">
        <f t="shared" si="53"/>
        <v>1370</v>
      </c>
      <c r="U138">
        <f t="shared" si="54"/>
        <v>1370</v>
      </c>
      <c r="V138" s="10"/>
      <c r="W138" s="10">
        <v>40</v>
      </c>
      <c r="AB138">
        <f t="shared" si="57"/>
        <v>74</v>
      </c>
      <c r="AC138">
        <f t="shared" si="58"/>
        <v>232</v>
      </c>
      <c r="AD138">
        <f t="shared" si="59"/>
        <v>548</v>
      </c>
    </row>
    <row r="139" spans="1:30" x14ac:dyDescent="0.25">
      <c r="A139" s="2" t="s">
        <v>281</v>
      </c>
      <c r="B139" s="9" t="s">
        <v>319</v>
      </c>
      <c r="C139" s="10" t="s">
        <v>320</v>
      </c>
      <c r="D139" s="2" t="s">
        <v>321</v>
      </c>
      <c r="E139" s="11" t="s">
        <v>30</v>
      </c>
      <c r="F139" s="43" t="s">
        <v>92</v>
      </c>
      <c r="G139" s="12">
        <v>6</v>
      </c>
      <c r="H139" s="2">
        <f t="shared" si="55"/>
        <v>24</v>
      </c>
      <c r="I139" s="2">
        <f t="shared" si="56"/>
        <v>60</v>
      </c>
      <c r="J139" s="10">
        <v>22.8</v>
      </c>
      <c r="K139" s="10">
        <v>19.8</v>
      </c>
      <c r="L139" s="51">
        <v>19.2</v>
      </c>
      <c r="M139" s="54">
        <f t="shared" si="61"/>
        <v>19.2</v>
      </c>
      <c r="O139" s="54" t="s">
        <v>559</v>
      </c>
      <c r="Q139" s="54" t="e">
        <f>VLOOKUP(B139,Foglio1!AA:AD,2,FALSE)</f>
        <v>#N/A</v>
      </c>
      <c r="R139" s="54" t="e">
        <f>VLOOKUP(B139,Foglio1!AA:AE,5,FALSE)</f>
        <v>#N/A</v>
      </c>
      <c r="T139">
        <f t="shared" si="53"/>
        <v>9600</v>
      </c>
      <c r="U139">
        <f t="shared" si="54"/>
        <v>9600</v>
      </c>
      <c r="V139" s="10"/>
      <c r="W139" s="10">
        <v>40</v>
      </c>
      <c r="AB139">
        <f t="shared" si="57"/>
        <v>136.80000000000001</v>
      </c>
      <c r="AC139">
        <f t="shared" si="58"/>
        <v>475.20000000000005</v>
      </c>
      <c r="AD139">
        <f t="shared" si="59"/>
        <v>1152</v>
      </c>
    </row>
    <row r="140" spans="1:30" x14ac:dyDescent="0.25">
      <c r="A140" s="2" t="s">
        <v>281</v>
      </c>
      <c r="B140" s="9" t="s">
        <v>322</v>
      </c>
      <c r="C140" s="10" t="s">
        <v>323</v>
      </c>
      <c r="D140" s="2" t="s">
        <v>324</v>
      </c>
      <c r="E140" s="11" t="s">
        <v>30</v>
      </c>
      <c r="F140" s="43" t="s">
        <v>92</v>
      </c>
      <c r="G140" s="12">
        <v>20</v>
      </c>
      <c r="H140" s="2">
        <f t="shared" si="55"/>
        <v>80</v>
      </c>
      <c r="I140" s="2">
        <f t="shared" si="56"/>
        <v>200</v>
      </c>
      <c r="J140" s="10">
        <v>13.5</v>
      </c>
      <c r="K140" s="10">
        <v>12.52</v>
      </c>
      <c r="L140" s="51">
        <v>12.33</v>
      </c>
      <c r="M140" s="54">
        <f t="shared" si="61"/>
        <v>12.33</v>
      </c>
      <c r="N140" s="54">
        <v>1.66</v>
      </c>
      <c r="Q140" s="54" t="e">
        <f>VLOOKUP(B140,Foglio1!AA:AD,2,FALSE)</f>
        <v>#N/A</v>
      </c>
      <c r="R140" s="54" t="e">
        <f>VLOOKUP(B140,Foglio1!AA:AE,5,FALSE)</f>
        <v>#N/A</v>
      </c>
      <c r="T140">
        <f t="shared" si="53"/>
        <v>6165</v>
      </c>
      <c r="U140">
        <f t="shared" si="54"/>
        <v>6165</v>
      </c>
      <c r="V140" s="10"/>
      <c r="W140" s="10">
        <v>40</v>
      </c>
      <c r="AB140">
        <f t="shared" si="57"/>
        <v>270</v>
      </c>
      <c r="AC140">
        <f t="shared" si="58"/>
        <v>1001.5999999999999</v>
      </c>
      <c r="AD140">
        <f t="shared" si="59"/>
        <v>2466</v>
      </c>
    </row>
    <row r="141" spans="1:30" x14ac:dyDescent="0.25">
      <c r="A141" s="2" t="s">
        <v>281</v>
      </c>
      <c r="B141" s="9" t="s">
        <v>325</v>
      </c>
      <c r="C141" s="10" t="s">
        <v>326</v>
      </c>
      <c r="D141" s="2" t="s">
        <v>327</v>
      </c>
      <c r="E141" s="11" t="s">
        <v>30</v>
      </c>
      <c r="F141" s="43" t="s">
        <v>92</v>
      </c>
      <c r="G141" s="12">
        <v>10</v>
      </c>
      <c r="H141" s="2">
        <f t="shared" si="55"/>
        <v>40</v>
      </c>
      <c r="I141" s="2">
        <f t="shared" si="56"/>
        <v>100</v>
      </c>
      <c r="J141" s="10">
        <v>3.98</v>
      </c>
      <c r="K141" s="10">
        <v>1.69</v>
      </c>
      <c r="L141" s="51">
        <v>1.23</v>
      </c>
      <c r="M141" s="54">
        <f t="shared" si="61"/>
        <v>1.23</v>
      </c>
      <c r="N141" s="54">
        <v>1.66</v>
      </c>
      <c r="Q141" s="54" t="e">
        <f>VLOOKUP(B141,Foglio1!AA:AD,2,FALSE)</f>
        <v>#N/A</v>
      </c>
      <c r="R141" s="54" t="e">
        <f>VLOOKUP(B141,Foglio1!AA:AE,5,FALSE)</f>
        <v>#N/A</v>
      </c>
      <c r="T141">
        <f t="shared" si="53"/>
        <v>615</v>
      </c>
      <c r="U141">
        <f t="shared" si="54"/>
        <v>615</v>
      </c>
      <c r="V141" s="10"/>
      <c r="W141" s="10">
        <v>40</v>
      </c>
      <c r="AB141">
        <f t="shared" si="57"/>
        <v>39.799999999999997</v>
      </c>
      <c r="AC141">
        <f t="shared" si="58"/>
        <v>67.599999999999994</v>
      </c>
      <c r="AD141">
        <f t="shared" si="59"/>
        <v>123</v>
      </c>
    </row>
    <row r="142" spans="1:30" x14ac:dyDescent="0.25">
      <c r="A142" s="2" t="s">
        <v>281</v>
      </c>
      <c r="B142" s="9" t="s">
        <v>328</v>
      </c>
      <c r="C142" s="10" t="s">
        <v>329</v>
      </c>
      <c r="D142" s="9" t="s">
        <v>330</v>
      </c>
      <c r="E142" s="11" t="s">
        <v>30</v>
      </c>
      <c r="F142" s="16" t="s">
        <v>78</v>
      </c>
      <c r="G142" s="12">
        <v>6</v>
      </c>
      <c r="H142" s="2">
        <f t="shared" si="55"/>
        <v>24</v>
      </c>
      <c r="I142" s="2">
        <f t="shared" si="56"/>
        <v>60</v>
      </c>
      <c r="J142" s="10">
        <v>29</v>
      </c>
      <c r="K142" s="10">
        <v>21.96</v>
      </c>
      <c r="L142" s="51">
        <v>20.55</v>
      </c>
      <c r="M142" s="54">
        <f t="shared" si="61"/>
        <v>20.55</v>
      </c>
      <c r="O142" s="54" t="s">
        <v>559</v>
      </c>
      <c r="Q142" s="54" t="e">
        <f>VLOOKUP(B142,Foglio1!AA:AD,2,FALSE)</f>
        <v>#N/A</v>
      </c>
      <c r="R142" s="54" t="e">
        <f>VLOOKUP(B142,Foglio1!AA:AE,5,FALSE)</f>
        <v>#N/A</v>
      </c>
      <c r="T142">
        <f t="shared" si="53"/>
        <v>10275</v>
      </c>
      <c r="U142">
        <f t="shared" si="54"/>
        <v>10275</v>
      </c>
      <c r="V142" s="10"/>
      <c r="W142" s="10">
        <v>40</v>
      </c>
      <c r="AB142">
        <f t="shared" si="57"/>
        <v>174</v>
      </c>
      <c r="AC142">
        <f t="shared" si="58"/>
        <v>527.04</v>
      </c>
      <c r="AD142">
        <f t="shared" si="59"/>
        <v>1233</v>
      </c>
    </row>
    <row r="143" spans="1:30" x14ac:dyDescent="0.25">
      <c r="A143" s="2" t="s">
        <v>281</v>
      </c>
      <c r="B143" s="9" t="s">
        <v>331</v>
      </c>
      <c r="C143" s="10" t="s">
        <v>332</v>
      </c>
      <c r="D143" s="9" t="s">
        <v>333</v>
      </c>
      <c r="E143" s="11" t="s">
        <v>30</v>
      </c>
      <c r="F143" s="16" t="s">
        <v>78</v>
      </c>
      <c r="G143" s="12">
        <v>10</v>
      </c>
      <c r="H143" s="2">
        <f t="shared" si="55"/>
        <v>40</v>
      </c>
      <c r="I143" s="2">
        <f t="shared" si="56"/>
        <v>100</v>
      </c>
      <c r="J143" s="10">
        <v>2.64</v>
      </c>
      <c r="K143" s="10">
        <v>1.07</v>
      </c>
      <c r="L143" s="51">
        <v>0.86</v>
      </c>
      <c r="M143" s="54">
        <f t="shared" si="61"/>
        <v>0.86</v>
      </c>
      <c r="O143" s="54" t="s">
        <v>559</v>
      </c>
      <c r="Q143" s="54" t="e">
        <f>VLOOKUP(B143,Foglio1!AA:AD,2,FALSE)</f>
        <v>#N/A</v>
      </c>
      <c r="R143" s="54" t="e">
        <f>VLOOKUP(B143,Foglio1!AA:AE,5,FALSE)</f>
        <v>#N/A</v>
      </c>
      <c r="T143">
        <f t="shared" si="53"/>
        <v>430</v>
      </c>
      <c r="U143">
        <f t="shared" si="54"/>
        <v>430</v>
      </c>
      <c r="V143" s="10"/>
      <c r="W143" s="10">
        <v>40</v>
      </c>
      <c r="AB143">
        <f t="shared" si="57"/>
        <v>26.400000000000002</v>
      </c>
      <c r="AC143">
        <f t="shared" si="58"/>
        <v>42.800000000000004</v>
      </c>
      <c r="AD143">
        <f t="shared" si="59"/>
        <v>86</v>
      </c>
    </row>
    <row r="144" spans="1:30" x14ac:dyDescent="0.25">
      <c r="A144" s="2" t="s">
        <v>281</v>
      </c>
      <c r="B144" s="9" t="s">
        <v>334</v>
      </c>
      <c r="C144" s="10" t="s">
        <v>335</v>
      </c>
      <c r="D144" s="9" t="s">
        <v>336</v>
      </c>
      <c r="E144" s="11" t="s">
        <v>30</v>
      </c>
      <c r="F144" s="43" t="s">
        <v>92</v>
      </c>
      <c r="G144" s="12">
        <v>20</v>
      </c>
      <c r="H144" s="2">
        <f t="shared" si="55"/>
        <v>80</v>
      </c>
      <c r="I144" s="2">
        <f t="shared" si="56"/>
        <v>200</v>
      </c>
      <c r="J144" s="10">
        <v>4.96</v>
      </c>
      <c r="K144" s="10">
        <v>3.65</v>
      </c>
      <c r="L144" s="51">
        <v>3.38</v>
      </c>
      <c r="M144" s="54">
        <f t="shared" si="61"/>
        <v>3.38</v>
      </c>
      <c r="N144" s="54">
        <v>1.66</v>
      </c>
      <c r="Q144" s="54" t="e">
        <f>VLOOKUP(B144,Foglio1!AA:AD,2,FALSE)</f>
        <v>#N/A</v>
      </c>
      <c r="R144" s="54" t="e">
        <f>VLOOKUP(B144,Foglio1!AA:AE,5,FALSE)</f>
        <v>#N/A</v>
      </c>
      <c r="T144">
        <f t="shared" si="53"/>
        <v>1690</v>
      </c>
      <c r="U144">
        <f t="shared" si="54"/>
        <v>1690</v>
      </c>
      <c r="V144" s="10"/>
      <c r="W144" s="10">
        <v>40</v>
      </c>
      <c r="AB144">
        <f t="shared" si="57"/>
        <v>99.2</v>
      </c>
      <c r="AC144">
        <f t="shared" si="58"/>
        <v>292</v>
      </c>
      <c r="AD144">
        <f t="shared" si="59"/>
        <v>676</v>
      </c>
    </row>
    <row r="145" spans="1:30" x14ac:dyDescent="0.25">
      <c r="A145" s="2" t="s">
        <v>281</v>
      </c>
      <c r="B145" s="9" t="s">
        <v>337</v>
      </c>
      <c r="C145" s="10" t="s">
        <v>338</v>
      </c>
      <c r="D145" s="2" t="s">
        <v>339</v>
      </c>
      <c r="E145" s="11" t="s">
        <v>30</v>
      </c>
      <c r="F145" s="43" t="s">
        <v>92</v>
      </c>
      <c r="G145" s="12">
        <v>6</v>
      </c>
      <c r="H145" s="2">
        <f t="shared" si="55"/>
        <v>24</v>
      </c>
      <c r="I145" s="2">
        <f t="shared" si="56"/>
        <v>60</v>
      </c>
      <c r="J145" s="10">
        <v>10.34</v>
      </c>
      <c r="K145" s="10">
        <v>6</v>
      </c>
      <c r="L145" s="51">
        <v>5.14</v>
      </c>
      <c r="M145" s="54">
        <f t="shared" si="61"/>
        <v>5.14</v>
      </c>
      <c r="O145" s="54" t="s">
        <v>559</v>
      </c>
      <c r="Q145" s="54" t="e">
        <f>VLOOKUP(B145,Foglio1!AA:AD,2,FALSE)</f>
        <v>#N/A</v>
      </c>
      <c r="R145" s="54" t="e">
        <f>VLOOKUP(B145,Foglio1!AA:AE,5,FALSE)</f>
        <v>#N/A</v>
      </c>
      <c r="T145">
        <f t="shared" si="53"/>
        <v>2570</v>
      </c>
      <c r="U145">
        <f t="shared" si="54"/>
        <v>2570</v>
      </c>
      <c r="V145" s="10"/>
      <c r="W145" s="10">
        <v>40</v>
      </c>
      <c r="AB145">
        <f t="shared" si="57"/>
        <v>62.04</v>
      </c>
      <c r="AC145">
        <f t="shared" si="58"/>
        <v>144</v>
      </c>
      <c r="AD145">
        <f t="shared" si="59"/>
        <v>308.39999999999998</v>
      </c>
    </row>
    <row r="146" spans="1:30" x14ac:dyDescent="0.25">
      <c r="A146" s="2" t="s">
        <v>281</v>
      </c>
      <c r="B146" s="9" t="s">
        <v>340</v>
      </c>
      <c r="C146" s="10" t="s">
        <v>341</v>
      </c>
      <c r="D146" s="2" t="s">
        <v>342</v>
      </c>
      <c r="E146" s="11" t="s">
        <v>53</v>
      </c>
      <c r="F146" s="43" t="s">
        <v>92</v>
      </c>
      <c r="G146" s="2">
        <v>3</v>
      </c>
      <c r="H146" s="12">
        <f t="shared" si="55"/>
        <v>12</v>
      </c>
      <c r="I146" s="2">
        <f t="shared" si="56"/>
        <v>30</v>
      </c>
      <c r="J146" s="10">
        <v>5.5</v>
      </c>
      <c r="K146" s="10">
        <v>1.82</v>
      </c>
      <c r="L146" s="51">
        <v>1.1000000000000001</v>
      </c>
      <c r="M146" s="54">
        <f t="shared" si="61"/>
        <v>1.1000000000000001</v>
      </c>
      <c r="O146" s="54" t="s">
        <v>559</v>
      </c>
      <c r="Q146" s="54" t="e">
        <f>VLOOKUP(B146,Foglio1!AA:AD,2,FALSE)</f>
        <v>#N/A</v>
      </c>
      <c r="R146" s="54" t="e">
        <f>VLOOKUP(B146,Foglio1!AA:AE,5,FALSE)</f>
        <v>#N/A</v>
      </c>
      <c r="T146">
        <f t="shared" si="53"/>
        <v>550</v>
      </c>
      <c r="U146">
        <f t="shared" si="54"/>
        <v>550</v>
      </c>
      <c r="V146" s="10"/>
      <c r="W146" s="10">
        <v>40</v>
      </c>
      <c r="AB146">
        <f t="shared" si="57"/>
        <v>16.5</v>
      </c>
      <c r="AC146">
        <f t="shared" si="58"/>
        <v>21.84</v>
      </c>
      <c r="AD146">
        <f t="shared" si="59"/>
        <v>33</v>
      </c>
    </row>
    <row r="147" spans="1:30" x14ac:dyDescent="0.25">
      <c r="A147" s="2" t="s">
        <v>281</v>
      </c>
      <c r="B147" s="9" t="s">
        <v>343</v>
      </c>
      <c r="C147" s="10" t="s">
        <v>344</v>
      </c>
      <c r="D147" s="2" t="s">
        <v>345</v>
      </c>
      <c r="E147" s="11" t="s">
        <v>285</v>
      </c>
      <c r="F147" s="16" t="s">
        <v>78</v>
      </c>
      <c r="G147" s="12">
        <v>15</v>
      </c>
      <c r="H147" s="2">
        <f t="shared" si="55"/>
        <v>60</v>
      </c>
      <c r="I147" s="2">
        <f t="shared" si="56"/>
        <v>150</v>
      </c>
      <c r="J147" s="10">
        <v>1.62</v>
      </c>
      <c r="K147" s="10">
        <v>0.84</v>
      </c>
      <c r="L147" s="51">
        <v>0.68</v>
      </c>
      <c r="M147" s="54">
        <f t="shared" si="61"/>
        <v>0.68</v>
      </c>
      <c r="N147" s="54">
        <v>0.25</v>
      </c>
      <c r="Q147" s="54" t="e">
        <f>VLOOKUP(B147,Foglio1!AA:AD,2,FALSE)</f>
        <v>#N/A</v>
      </c>
      <c r="R147" s="54" t="e">
        <f>VLOOKUP(B147,Foglio1!AA:AE,5,FALSE)</f>
        <v>#N/A</v>
      </c>
      <c r="T147">
        <f t="shared" si="53"/>
        <v>340</v>
      </c>
      <c r="U147">
        <f t="shared" si="54"/>
        <v>340</v>
      </c>
      <c r="V147" s="10"/>
      <c r="W147" s="10">
        <v>40</v>
      </c>
      <c r="AB147">
        <f t="shared" si="57"/>
        <v>24.3</v>
      </c>
      <c r="AC147">
        <f t="shared" si="58"/>
        <v>50.4</v>
      </c>
      <c r="AD147">
        <f t="shared" si="59"/>
        <v>102.00000000000001</v>
      </c>
    </row>
    <row r="148" spans="1:30" x14ac:dyDescent="0.25">
      <c r="M148"/>
      <c r="N148"/>
      <c r="O148"/>
      <c r="P148"/>
      <c r="Q148" s="54" t="e">
        <f>VLOOKUP(B148,Foglio1!AA:AD,2,FALSE)</f>
        <v>#N/A</v>
      </c>
      <c r="R148" s="54" t="e">
        <f>VLOOKUP(B148,Foglio1!AA:AE,5,FALSE)</f>
        <v>#N/A</v>
      </c>
      <c r="T148">
        <f t="shared" si="53"/>
        <v>0</v>
      </c>
      <c r="U148">
        <f t="shared" si="54"/>
        <v>0</v>
      </c>
      <c r="AB148">
        <f>SUM(AB127:AB147)</f>
        <v>2874.3400000000006</v>
      </c>
      <c r="AC148">
        <f t="shared" ref="AC148:AD148" si="62">SUM(AC127:AC147)</f>
        <v>9789.2800000000007</v>
      </c>
      <c r="AD148">
        <f t="shared" si="62"/>
        <v>23642.400000000001</v>
      </c>
    </row>
    <row r="149" spans="1:30" x14ac:dyDescent="0.25">
      <c r="M149"/>
      <c r="N149"/>
      <c r="O149"/>
      <c r="P149"/>
      <c r="Q149" s="54" t="e">
        <f>VLOOKUP(B149,Foglio1!AA:AD,2,FALSE)</f>
        <v>#N/A</v>
      </c>
      <c r="R149" s="54" t="e">
        <f>VLOOKUP(B149,Foglio1!AA:AE,5,FALSE)</f>
        <v>#N/A</v>
      </c>
      <c r="T149">
        <f t="shared" si="53"/>
        <v>0</v>
      </c>
      <c r="U149">
        <f t="shared" si="54"/>
        <v>0</v>
      </c>
      <c r="AB149">
        <f>+AB148/50</f>
        <v>57.486800000000009</v>
      </c>
      <c r="AC149">
        <f>+AC148/200</f>
        <v>48.946400000000004</v>
      </c>
      <c r="AD149">
        <f>+AD148/500</f>
        <v>47.284800000000004</v>
      </c>
    </row>
    <row r="150" spans="1:30" x14ac:dyDescent="0.25">
      <c r="A150" s="8" t="s">
        <v>346</v>
      </c>
      <c r="M150"/>
      <c r="N150"/>
      <c r="O150"/>
      <c r="P150"/>
      <c r="Q150" s="54" t="e">
        <f>VLOOKUP(B150,Foglio1!AA:AD,2,FALSE)</f>
        <v>#N/A</v>
      </c>
      <c r="R150" s="54" t="e">
        <f>VLOOKUP(B150,Foglio1!AA:AE,5,FALSE)</f>
        <v>#N/A</v>
      </c>
      <c r="T150">
        <f t="shared" si="53"/>
        <v>0</v>
      </c>
      <c r="U150">
        <f t="shared" si="54"/>
        <v>0</v>
      </c>
    </row>
    <row r="151" spans="1:30" ht="45" x14ac:dyDescent="0.25">
      <c r="A151" s="3" t="s">
        <v>0</v>
      </c>
      <c r="B151" s="1" t="s">
        <v>1</v>
      </c>
      <c r="C151" s="3" t="s">
        <v>145</v>
      </c>
      <c r="D151" s="3" t="s">
        <v>202</v>
      </c>
      <c r="E151" s="2" t="s">
        <v>146</v>
      </c>
      <c r="F151" s="3" t="s">
        <v>5</v>
      </c>
      <c r="G151" s="3" t="s">
        <v>111</v>
      </c>
      <c r="H151" s="3" t="s">
        <v>112</v>
      </c>
      <c r="I151" s="3" t="s">
        <v>113</v>
      </c>
      <c r="J151" s="3" t="s">
        <v>114</v>
      </c>
      <c r="K151" s="3" t="s">
        <v>115</v>
      </c>
      <c r="L151" s="3" t="s">
        <v>116</v>
      </c>
      <c r="M151" s="3"/>
      <c r="N151" s="4"/>
      <c r="O151" s="4"/>
      <c r="P151" s="4"/>
      <c r="Q151" s="54" t="e">
        <f>VLOOKUP(B151,Foglio1!AA:AD,2,FALSE)</f>
        <v>#N/A</v>
      </c>
      <c r="R151" s="54" t="e">
        <f>VLOOKUP(B151,Foglio1!AA:AE,5,FALSE)</f>
        <v>#N/A</v>
      </c>
      <c r="T151">
        <f t="shared" si="53"/>
        <v>0</v>
      </c>
      <c r="U151" t="e">
        <f t="shared" si="54"/>
        <v>#VALUE!</v>
      </c>
      <c r="V151" s="3"/>
      <c r="W151" s="5" t="s">
        <v>203</v>
      </c>
    </row>
    <row r="152" spans="1:30" ht="30" x14ac:dyDescent="0.25">
      <c r="A152" s="2" t="s">
        <v>347</v>
      </c>
      <c r="B152" s="9" t="s">
        <v>348</v>
      </c>
      <c r="C152" s="2" t="s">
        <v>349</v>
      </c>
      <c r="D152" s="49" t="s">
        <v>350</v>
      </c>
      <c r="E152" s="2" t="s">
        <v>77</v>
      </c>
      <c r="F152" s="2" t="s">
        <v>92</v>
      </c>
      <c r="G152" s="50" t="s">
        <v>351</v>
      </c>
      <c r="H152" s="50" t="s">
        <v>352</v>
      </c>
      <c r="I152" s="50" t="s">
        <v>353</v>
      </c>
      <c r="J152" s="49"/>
      <c r="K152" s="49"/>
      <c r="L152" s="49"/>
      <c r="M152" s="49"/>
      <c r="N152" s="55"/>
      <c r="O152" s="55"/>
      <c r="P152" s="55"/>
      <c r="Q152" s="54" t="e">
        <f>VLOOKUP(B152,Foglio1!AA:AD,2,FALSE)</f>
        <v>#N/A</v>
      </c>
      <c r="R152" s="54" t="e">
        <f>VLOOKUP(B152,Foglio1!AA:AE,5,FALSE)</f>
        <v>#N/A</v>
      </c>
      <c r="T152">
        <f t="shared" si="53"/>
        <v>0</v>
      </c>
      <c r="U152">
        <f t="shared" si="54"/>
        <v>0</v>
      </c>
      <c r="V152" s="49" t="s">
        <v>354</v>
      </c>
      <c r="W152" s="49">
        <v>30</v>
      </c>
    </row>
    <row r="153" spans="1:30" x14ac:dyDescent="0.25">
      <c r="T153">
        <f>SUBTOTAL(9,T3:T152)</f>
        <v>313187.24580000003</v>
      </c>
      <c r="U153" t="e">
        <f>SUBTOTAL(9,U3:U152)</f>
        <v>#VALUE!</v>
      </c>
    </row>
    <row r="158" spans="1:30" x14ac:dyDescent="0.25">
      <c r="G158" s="19" t="s">
        <v>355</v>
      </c>
    </row>
  </sheetData>
  <autoFilter ref="A2:AE152" xr:uid="{0ACF276D-5E56-40AB-BFDA-B61424EF595A}"/>
  <conditionalFormatting sqref="B2:B8">
    <cfRule type="duplicateValues" dxfId="6" priority="2"/>
  </conditionalFormatting>
  <conditionalFormatting sqref="B25:B42">
    <cfRule type="duplicateValues" dxfId="5" priority="3"/>
  </conditionalFormatting>
  <conditionalFormatting sqref="B45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0EA5-672F-469C-8A82-B7F63B8C687A}">
  <sheetPr filterMode="1"/>
  <dimension ref="A1:N108"/>
  <sheetViews>
    <sheetView tabSelected="1" topLeftCell="A2" workbookViewId="0">
      <selection activeCell="H28" sqref="H28"/>
    </sheetView>
  </sheetViews>
  <sheetFormatPr defaultRowHeight="15" x14ac:dyDescent="0.25"/>
  <cols>
    <col min="1" max="1" width="12.140625" bestFit="1" customWidth="1"/>
    <col min="2" max="2" width="8.85546875" customWidth="1"/>
    <col min="3" max="3" width="12.140625" customWidth="1"/>
    <col min="4" max="4" width="48.42578125" customWidth="1"/>
    <col min="5" max="5" width="16.140625" customWidth="1"/>
    <col min="6" max="6" width="26.140625" style="73" customWidth="1"/>
    <col min="7" max="7" width="35.7109375" style="73" bestFit="1" customWidth="1"/>
    <col min="8" max="8" width="9.7109375" style="73" customWidth="1"/>
    <col min="9" max="12" width="7.85546875" style="73" customWidth="1"/>
    <col min="13" max="13" width="25.5703125" customWidth="1"/>
    <col min="14" max="14" width="9.42578125" bestFit="1" customWidth="1"/>
  </cols>
  <sheetData>
    <row r="1" spans="1:14" hidden="1" x14ac:dyDescent="0.25">
      <c r="D1" t="s">
        <v>356</v>
      </c>
      <c r="F1"/>
      <c r="G1"/>
      <c r="H1"/>
      <c r="I1"/>
      <c r="J1"/>
      <c r="K1"/>
      <c r="L1"/>
    </row>
    <row r="2" spans="1:14" ht="51" customHeight="1" x14ac:dyDescent="0.25">
      <c r="A2" s="3" t="s">
        <v>0</v>
      </c>
      <c r="B2" s="1" t="s">
        <v>1</v>
      </c>
      <c r="C2" s="2" t="s">
        <v>2</v>
      </c>
      <c r="D2" s="2" t="s">
        <v>3</v>
      </c>
      <c r="E2" s="3" t="s">
        <v>4</v>
      </c>
      <c r="F2" s="75" t="s">
        <v>565</v>
      </c>
      <c r="G2" s="75" t="s">
        <v>361</v>
      </c>
      <c r="H2" s="75" t="s">
        <v>558</v>
      </c>
      <c r="I2" s="75" t="s">
        <v>562</v>
      </c>
      <c r="J2" s="75" t="s">
        <v>556</v>
      </c>
      <c r="K2" s="75" t="s">
        <v>555</v>
      </c>
      <c r="L2" s="75" t="s">
        <v>557</v>
      </c>
      <c r="M2" s="75" t="s">
        <v>14</v>
      </c>
      <c r="N2" s="79" t="s">
        <v>563</v>
      </c>
    </row>
    <row r="3" spans="1:14" hidden="1" x14ac:dyDescent="0.25">
      <c r="A3" s="2" t="s">
        <v>17</v>
      </c>
      <c r="B3" s="9" t="s">
        <v>18</v>
      </c>
      <c r="C3" s="10" t="s">
        <v>19</v>
      </c>
      <c r="D3" s="10" t="s">
        <v>493</v>
      </c>
      <c r="E3" s="11" t="s">
        <v>20</v>
      </c>
      <c r="F3" s="74">
        <v>5.22</v>
      </c>
      <c r="G3" s="74" t="s">
        <v>363</v>
      </c>
      <c r="H3" s="76">
        <v>0.43740000000000001</v>
      </c>
      <c r="I3" s="74" t="s">
        <v>391</v>
      </c>
      <c r="J3" s="74">
        <v>60</v>
      </c>
      <c r="K3" s="74">
        <v>1.62</v>
      </c>
      <c r="L3" s="74">
        <v>9.7200000000000009E-2</v>
      </c>
      <c r="M3" s="11" t="s">
        <v>22</v>
      </c>
      <c r="N3" s="78">
        <f>+F3+H3</f>
        <v>5.6574</v>
      </c>
    </row>
    <row r="4" spans="1:14" hidden="1" x14ac:dyDescent="0.25">
      <c r="A4" s="2" t="s">
        <v>17</v>
      </c>
      <c r="B4" s="9" t="s">
        <v>24</v>
      </c>
      <c r="C4" s="10" t="s">
        <v>25</v>
      </c>
      <c r="D4" s="10" t="s">
        <v>549</v>
      </c>
      <c r="E4" s="11" t="s">
        <v>20</v>
      </c>
      <c r="F4" s="74">
        <v>7.26</v>
      </c>
      <c r="G4" s="74" t="s">
        <v>363</v>
      </c>
      <c r="H4" s="76" t="e">
        <v>#N/A</v>
      </c>
      <c r="I4" s="74" t="e">
        <v>#N/A</v>
      </c>
      <c r="J4" s="74" t="e">
        <v>#N/A</v>
      </c>
      <c r="K4" s="74" t="e">
        <v>#N/A</v>
      </c>
      <c r="L4" s="74" t="e">
        <v>#N/A</v>
      </c>
      <c r="M4" s="11" t="s">
        <v>22</v>
      </c>
      <c r="N4" s="78"/>
    </row>
    <row r="5" spans="1:14" hidden="1" x14ac:dyDescent="0.25">
      <c r="A5" s="2" t="s">
        <v>17</v>
      </c>
      <c r="B5" s="9" t="s">
        <v>26</v>
      </c>
      <c r="C5" s="10" t="s">
        <v>27</v>
      </c>
      <c r="D5" s="10" t="s">
        <v>486</v>
      </c>
      <c r="E5" s="11" t="s">
        <v>28</v>
      </c>
      <c r="F5" s="74">
        <v>3.25</v>
      </c>
      <c r="G5" s="74" t="s">
        <v>366</v>
      </c>
      <c r="H5" s="76" t="e">
        <v>#N/A</v>
      </c>
      <c r="I5" s="74" t="e">
        <v>#N/A</v>
      </c>
      <c r="J5" s="74" t="e">
        <v>#N/A</v>
      </c>
      <c r="K5" s="74" t="e">
        <v>#N/A</v>
      </c>
      <c r="L5" s="74" t="e">
        <v>#N/A</v>
      </c>
      <c r="M5" s="11" t="s">
        <v>30</v>
      </c>
      <c r="N5" s="78"/>
    </row>
    <row r="6" spans="1:14" x14ac:dyDescent="0.25">
      <c r="A6" s="2" t="s">
        <v>17</v>
      </c>
      <c r="B6" s="9" t="s">
        <v>31</v>
      </c>
      <c r="C6" s="10" t="s">
        <v>32</v>
      </c>
      <c r="D6" s="10" t="s">
        <v>488</v>
      </c>
      <c r="E6" s="11" t="s">
        <v>28</v>
      </c>
      <c r="F6" s="74">
        <v>40</v>
      </c>
      <c r="G6" s="74">
        <v>0.26</v>
      </c>
      <c r="H6" s="76" t="e">
        <v>#N/A</v>
      </c>
      <c r="I6" s="74" t="e">
        <v>#N/A</v>
      </c>
      <c r="J6" s="74" t="e">
        <v>#N/A</v>
      </c>
      <c r="K6" s="74" t="e">
        <v>#N/A</v>
      </c>
      <c r="L6" s="74" t="e">
        <v>#N/A</v>
      </c>
      <c r="M6" s="11" t="s">
        <v>30</v>
      </c>
      <c r="N6" s="80">
        <f>+F6+G6</f>
        <v>40.26</v>
      </c>
    </row>
    <row r="7" spans="1:14" x14ac:dyDescent="0.25">
      <c r="A7" s="2" t="s">
        <v>17</v>
      </c>
      <c r="B7" s="9" t="s">
        <v>33</v>
      </c>
      <c r="C7" s="10" t="s">
        <v>34</v>
      </c>
      <c r="D7" s="10" t="s">
        <v>489</v>
      </c>
      <c r="E7" s="11" t="s">
        <v>28</v>
      </c>
      <c r="F7" s="74">
        <v>12.14</v>
      </c>
      <c r="G7" s="74">
        <v>0.25</v>
      </c>
      <c r="H7" s="76" t="e">
        <v>#N/A</v>
      </c>
      <c r="I7" s="74" t="e">
        <v>#N/A</v>
      </c>
      <c r="J7" s="74" t="e">
        <v>#N/A</v>
      </c>
      <c r="K7" s="74" t="e">
        <v>#N/A</v>
      </c>
      <c r="L7" s="74" t="e">
        <v>#N/A</v>
      </c>
      <c r="M7" s="11" t="s">
        <v>30</v>
      </c>
      <c r="N7" s="80">
        <f>+F7+G7</f>
        <v>12.39</v>
      </c>
    </row>
    <row r="8" spans="1:14" hidden="1" x14ac:dyDescent="0.25">
      <c r="A8" s="2" t="s">
        <v>17</v>
      </c>
      <c r="B8" s="9" t="s">
        <v>35</v>
      </c>
      <c r="C8" s="10" t="s">
        <v>36</v>
      </c>
      <c r="D8" s="10" t="s">
        <v>490</v>
      </c>
      <c r="E8" s="11" t="s">
        <v>20</v>
      </c>
      <c r="F8" s="74">
        <v>7.22</v>
      </c>
      <c r="G8" s="74" t="s">
        <v>363</v>
      </c>
      <c r="H8" s="76" t="e">
        <v>#N/A</v>
      </c>
      <c r="I8" s="74" t="e">
        <v>#N/A</v>
      </c>
      <c r="J8" s="74" t="e">
        <v>#N/A</v>
      </c>
      <c r="K8" s="74" t="e">
        <v>#N/A</v>
      </c>
      <c r="L8" s="74" t="e">
        <v>#N/A</v>
      </c>
      <c r="M8" s="11" t="s">
        <v>22</v>
      </c>
      <c r="N8" s="78"/>
    </row>
    <row r="9" spans="1:14" hidden="1" x14ac:dyDescent="0.25">
      <c r="A9" s="2" t="s">
        <v>17</v>
      </c>
      <c r="B9" s="15" t="s">
        <v>37</v>
      </c>
      <c r="C9" s="10" t="s">
        <v>38</v>
      </c>
      <c r="D9" s="10" t="s">
        <v>497</v>
      </c>
      <c r="E9" s="11" t="s">
        <v>20</v>
      </c>
      <c r="F9" s="74">
        <v>5.15</v>
      </c>
      <c r="G9" s="74" t="s">
        <v>363</v>
      </c>
      <c r="H9" s="76">
        <v>0.463725</v>
      </c>
      <c r="I9" s="74" t="s">
        <v>433</v>
      </c>
      <c r="J9" s="74">
        <v>90</v>
      </c>
      <c r="K9" s="74">
        <v>1.145</v>
      </c>
      <c r="L9" s="74">
        <v>0.10305</v>
      </c>
      <c r="M9" s="11" t="s">
        <v>22</v>
      </c>
      <c r="N9" s="78"/>
    </row>
    <row r="10" spans="1:14" x14ac:dyDescent="0.25">
      <c r="A10" s="2" t="s">
        <v>17</v>
      </c>
      <c r="B10" s="15" t="s">
        <v>39</v>
      </c>
      <c r="C10" s="10" t="s">
        <v>40</v>
      </c>
      <c r="D10" s="10" t="s">
        <v>495</v>
      </c>
      <c r="E10" s="11" t="s">
        <v>28</v>
      </c>
      <c r="F10" s="74">
        <v>3.36</v>
      </c>
      <c r="G10" s="74">
        <v>0.17</v>
      </c>
      <c r="H10" s="76">
        <v>0.18225</v>
      </c>
      <c r="I10" s="74" t="s">
        <v>418</v>
      </c>
      <c r="J10" s="74">
        <v>45</v>
      </c>
      <c r="K10" s="74">
        <v>0.9</v>
      </c>
      <c r="L10" s="74">
        <v>4.0500000000000001E-2</v>
      </c>
      <c r="M10" s="11" t="s">
        <v>30</v>
      </c>
      <c r="N10" s="80">
        <f>+F10+G10+H10</f>
        <v>3.7122499999999996</v>
      </c>
    </row>
    <row r="11" spans="1:14" hidden="1" x14ac:dyDescent="0.25">
      <c r="A11" s="2" t="s">
        <v>17</v>
      </c>
      <c r="B11" s="15" t="s">
        <v>43</v>
      </c>
      <c r="C11" s="10" t="s">
        <v>44</v>
      </c>
      <c r="D11" s="10" t="s">
        <v>498</v>
      </c>
      <c r="E11" s="11" t="s">
        <v>20</v>
      </c>
      <c r="F11" s="74">
        <v>3.4</v>
      </c>
      <c r="G11" s="74" t="s">
        <v>363</v>
      </c>
      <c r="H11" s="76">
        <v>0.22639500000000001</v>
      </c>
      <c r="I11" s="74" t="s">
        <v>453</v>
      </c>
      <c r="J11" s="74">
        <v>90</v>
      </c>
      <c r="K11" s="74">
        <v>0.55900000000000005</v>
      </c>
      <c r="L11" s="74">
        <v>5.0310000000000001E-2</v>
      </c>
      <c r="M11" s="11" t="s">
        <v>22</v>
      </c>
      <c r="N11" s="78"/>
    </row>
    <row r="12" spans="1:14" hidden="1" x14ac:dyDescent="0.25">
      <c r="A12" s="2" t="s">
        <v>17</v>
      </c>
      <c r="B12" s="15" t="s">
        <v>45</v>
      </c>
      <c r="C12" s="10" t="s">
        <v>46</v>
      </c>
      <c r="D12" s="10" t="s">
        <v>499</v>
      </c>
      <c r="E12" s="11" t="s">
        <v>20</v>
      </c>
      <c r="F12" s="74">
        <v>3.7</v>
      </c>
      <c r="G12" s="74" t="s">
        <v>363</v>
      </c>
      <c r="H12" s="76">
        <v>0.128304</v>
      </c>
      <c r="I12" s="74" t="s">
        <v>426</v>
      </c>
      <c r="J12" s="74">
        <v>32</v>
      </c>
      <c r="K12" s="74">
        <v>0.89100000000000001</v>
      </c>
      <c r="L12" s="74">
        <v>2.8511999999999999E-2</v>
      </c>
      <c r="M12" s="11" t="s">
        <v>22</v>
      </c>
      <c r="N12" s="78"/>
    </row>
    <row r="13" spans="1:14" hidden="1" x14ac:dyDescent="0.25">
      <c r="A13" s="2" t="s">
        <v>17</v>
      </c>
      <c r="B13" s="15" t="s">
        <v>47</v>
      </c>
      <c r="C13" s="10" t="s">
        <v>48</v>
      </c>
      <c r="D13" s="10" t="s">
        <v>501</v>
      </c>
      <c r="E13" s="11" t="s">
        <v>20</v>
      </c>
      <c r="F13" s="74">
        <v>9.75</v>
      </c>
      <c r="G13" s="74" t="s">
        <v>363</v>
      </c>
      <c r="H13" s="76">
        <v>4.3237800000000002</v>
      </c>
      <c r="I13" s="74" t="s">
        <v>458</v>
      </c>
      <c r="J13" s="74">
        <v>180</v>
      </c>
      <c r="K13" s="74">
        <v>5.3380000000000001</v>
      </c>
      <c r="L13" s="74">
        <v>0.96084000000000003</v>
      </c>
      <c r="M13" s="11" t="s">
        <v>22</v>
      </c>
      <c r="N13" s="78"/>
    </row>
    <row r="14" spans="1:14" x14ac:dyDescent="0.25">
      <c r="A14" s="2" t="s">
        <v>17</v>
      </c>
      <c r="B14" s="15" t="s">
        <v>49</v>
      </c>
      <c r="C14" s="10" t="s">
        <v>50</v>
      </c>
      <c r="D14" s="10" t="s">
        <v>482</v>
      </c>
      <c r="E14" s="11" t="s">
        <v>20</v>
      </c>
      <c r="F14" s="74">
        <v>8.6999999999999993</v>
      </c>
      <c r="G14" s="74">
        <v>0.25</v>
      </c>
      <c r="H14" s="76" t="e">
        <v>#N/A</v>
      </c>
      <c r="I14" s="74" t="e">
        <v>#N/A</v>
      </c>
      <c r="J14" s="74" t="e">
        <v>#N/A</v>
      </c>
      <c r="K14" s="74" t="e">
        <v>#N/A</v>
      </c>
      <c r="L14" s="74" t="e">
        <v>#N/A</v>
      </c>
      <c r="M14" s="10" t="s">
        <v>22</v>
      </c>
      <c r="N14" s="80">
        <f>+F14+G14</f>
        <v>8.9499999999999993</v>
      </c>
    </row>
    <row r="15" spans="1:14" hidden="1" x14ac:dyDescent="0.25">
      <c r="A15" s="2" t="s">
        <v>17</v>
      </c>
      <c r="B15" s="15" t="s">
        <v>51</v>
      </c>
      <c r="C15" s="10" t="s">
        <v>52</v>
      </c>
      <c r="D15" s="10" t="s">
        <v>484</v>
      </c>
      <c r="E15" s="11" t="s">
        <v>28</v>
      </c>
      <c r="F15" s="74">
        <v>18</v>
      </c>
      <c r="G15" s="74" t="s">
        <v>362</v>
      </c>
      <c r="H15" s="76" t="e">
        <v>#N/A</v>
      </c>
      <c r="I15" s="74" t="e">
        <v>#N/A</v>
      </c>
      <c r="J15" s="74" t="e">
        <v>#N/A</v>
      </c>
      <c r="K15" s="74" t="e">
        <v>#N/A</v>
      </c>
      <c r="L15" s="74" t="e">
        <v>#N/A</v>
      </c>
      <c r="M15" s="10" t="s">
        <v>53</v>
      </c>
      <c r="N15" s="78"/>
    </row>
    <row r="16" spans="1:14" hidden="1" x14ac:dyDescent="0.25">
      <c r="A16" s="2" t="s">
        <v>17</v>
      </c>
      <c r="B16" s="15" t="s">
        <v>54</v>
      </c>
      <c r="C16" s="10" t="s">
        <v>55</v>
      </c>
      <c r="D16" s="10" t="s">
        <v>485</v>
      </c>
      <c r="E16" s="11" t="s">
        <v>28</v>
      </c>
      <c r="F16" s="74">
        <v>20</v>
      </c>
      <c r="G16" s="74" t="s">
        <v>362</v>
      </c>
      <c r="H16" s="76" t="e">
        <v>#N/A</v>
      </c>
      <c r="I16" s="74" t="e">
        <v>#N/A</v>
      </c>
      <c r="J16" s="74" t="e">
        <v>#N/A</v>
      </c>
      <c r="K16" s="74" t="e">
        <v>#N/A</v>
      </c>
      <c r="L16" s="74" t="e">
        <v>#N/A</v>
      </c>
      <c r="M16" s="10" t="s">
        <v>53</v>
      </c>
      <c r="N16" s="78"/>
    </row>
    <row r="17" spans="1:14" hidden="1" x14ac:dyDescent="0.25">
      <c r="A17" s="2" t="s">
        <v>17</v>
      </c>
      <c r="B17" s="15" t="s">
        <v>56</v>
      </c>
      <c r="C17" s="10" t="s">
        <v>57</v>
      </c>
      <c r="D17" s="10" t="s">
        <v>491</v>
      </c>
      <c r="E17" s="11" t="s">
        <v>20</v>
      </c>
      <c r="F17" s="74">
        <v>9.32</v>
      </c>
      <c r="G17" s="74" t="s">
        <v>364</v>
      </c>
      <c r="H17" s="76" t="e">
        <v>#N/A</v>
      </c>
      <c r="I17" s="74" t="e">
        <v>#N/A</v>
      </c>
      <c r="J17" s="74" t="e">
        <v>#N/A</v>
      </c>
      <c r="K17" s="74" t="e">
        <v>#N/A</v>
      </c>
      <c r="L17" s="74" t="e">
        <v>#N/A</v>
      </c>
      <c r="M17" s="10" t="s">
        <v>22</v>
      </c>
      <c r="N17" s="78"/>
    </row>
    <row r="18" spans="1:14" hidden="1" x14ac:dyDescent="0.25">
      <c r="A18" s="2" t="s">
        <v>17</v>
      </c>
      <c r="B18" s="15" t="s">
        <v>58</v>
      </c>
      <c r="C18" s="10" t="s">
        <v>59</v>
      </c>
      <c r="D18" s="10" t="s">
        <v>550</v>
      </c>
      <c r="E18" s="11" t="s">
        <v>28</v>
      </c>
      <c r="F18" s="74">
        <v>40</v>
      </c>
      <c r="G18" s="74" t="s">
        <v>365</v>
      </c>
      <c r="H18" s="76" t="e">
        <v>#N/A</v>
      </c>
      <c r="I18" s="74" t="e">
        <v>#N/A</v>
      </c>
      <c r="J18" s="74" t="e">
        <v>#N/A</v>
      </c>
      <c r="K18" s="74" t="e">
        <v>#N/A</v>
      </c>
      <c r="L18" s="74" t="e">
        <v>#N/A</v>
      </c>
      <c r="M18" s="10" t="s">
        <v>30</v>
      </c>
      <c r="N18" s="78"/>
    </row>
    <row r="19" spans="1:14" hidden="1" x14ac:dyDescent="0.25">
      <c r="A19" s="2" t="s">
        <v>17</v>
      </c>
      <c r="B19" s="15" t="s">
        <v>60</v>
      </c>
      <c r="C19" s="10" t="s">
        <v>61</v>
      </c>
      <c r="D19" s="10" t="s">
        <v>552</v>
      </c>
      <c r="E19" s="11" t="s">
        <v>28</v>
      </c>
      <c r="F19" s="74">
        <v>40</v>
      </c>
      <c r="G19" s="74" t="s">
        <v>365</v>
      </c>
      <c r="H19" s="76" t="e">
        <v>#N/A</v>
      </c>
      <c r="I19" s="74" t="e">
        <v>#N/A</v>
      </c>
      <c r="J19" s="74" t="e">
        <v>#N/A</v>
      </c>
      <c r="K19" s="74" t="e">
        <v>#N/A</v>
      </c>
      <c r="L19" s="74" t="e">
        <v>#N/A</v>
      </c>
      <c r="M19" s="10" t="s">
        <v>30</v>
      </c>
      <c r="N19" s="78"/>
    </row>
    <row r="20" spans="1:14" hidden="1" x14ac:dyDescent="0.25">
      <c r="A20" s="2" t="s">
        <v>17</v>
      </c>
      <c r="B20" s="15" t="s">
        <v>62</v>
      </c>
      <c r="C20" s="10" t="s">
        <v>63</v>
      </c>
      <c r="D20" s="10" t="s">
        <v>553</v>
      </c>
      <c r="E20" s="11" t="s">
        <v>20</v>
      </c>
      <c r="F20" s="74">
        <v>7.96</v>
      </c>
      <c r="G20" s="74" t="s">
        <v>363</v>
      </c>
      <c r="H20" s="76" t="e">
        <v>#N/A</v>
      </c>
      <c r="I20" s="74" t="e">
        <v>#N/A</v>
      </c>
      <c r="J20" s="74" t="e">
        <v>#N/A</v>
      </c>
      <c r="K20" s="74" t="e">
        <v>#N/A</v>
      </c>
      <c r="L20" s="74" t="e">
        <v>#N/A</v>
      </c>
      <c r="M20" s="10" t="s">
        <v>22</v>
      </c>
      <c r="N20" s="78"/>
    </row>
    <row r="21" spans="1:14" hidden="1" x14ac:dyDescent="0.25">
      <c r="A21" s="2" t="s">
        <v>17</v>
      </c>
      <c r="B21" s="15" t="s">
        <v>64</v>
      </c>
      <c r="C21" s="10" t="s">
        <v>65</v>
      </c>
      <c r="D21" s="10" t="s">
        <v>554</v>
      </c>
      <c r="E21" s="11" t="s">
        <v>20</v>
      </c>
      <c r="F21" s="74">
        <v>11</v>
      </c>
      <c r="G21" s="74" t="s">
        <v>363</v>
      </c>
      <c r="H21" s="76" t="e">
        <v>#N/A</v>
      </c>
      <c r="I21" s="74" t="e">
        <v>#N/A</v>
      </c>
      <c r="J21" s="74" t="e">
        <v>#N/A</v>
      </c>
      <c r="K21" s="74" t="e">
        <v>#N/A</v>
      </c>
      <c r="L21" s="74" t="e">
        <v>#N/A</v>
      </c>
      <c r="M21" s="10" t="s">
        <v>22</v>
      </c>
      <c r="N21" s="78"/>
    </row>
    <row r="22" spans="1:14" x14ac:dyDescent="0.25">
      <c r="A22" s="2" t="s">
        <v>74</v>
      </c>
      <c r="B22" s="9" t="s">
        <v>75</v>
      </c>
      <c r="C22" s="10" t="s">
        <v>76</v>
      </c>
      <c r="D22" s="10" t="s">
        <v>504</v>
      </c>
      <c r="E22" s="2" t="s">
        <v>77</v>
      </c>
      <c r="F22" s="74">
        <v>0.36</v>
      </c>
      <c r="G22" s="74"/>
      <c r="H22" s="74"/>
      <c r="I22" s="74"/>
      <c r="J22" s="74"/>
      <c r="K22" s="74"/>
      <c r="L22" s="74"/>
      <c r="M22" s="10"/>
      <c r="N22" s="80">
        <f>+F22</f>
        <v>0.36</v>
      </c>
    </row>
    <row r="23" spans="1:14" x14ac:dyDescent="0.25">
      <c r="A23" s="2" t="s">
        <v>74</v>
      </c>
      <c r="B23" s="9" t="s">
        <v>79</v>
      </c>
      <c r="C23" s="10" t="s">
        <v>80</v>
      </c>
      <c r="D23" s="10" t="s">
        <v>505</v>
      </c>
      <c r="E23" s="2" t="s">
        <v>77</v>
      </c>
      <c r="F23" s="74">
        <v>0.74</v>
      </c>
      <c r="G23" s="74"/>
      <c r="H23" s="74"/>
      <c r="I23" s="74"/>
      <c r="J23" s="74"/>
      <c r="K23" s="74"/>
      <c r="L23" s="74"/>
      <c r="M23" s="10"/>
      <c r="N23" s="80">
        <f t="shared" ref="N23:N36" si="0">+F23</f>
        <v>0.74</v>
      </c>
    </row>
    <row r="24" spans="1:14" x14ac:dyDescent="0.25">
      <c r="A24" s="2" t="s">
        <v>74</v>
      </c>
      <c r="B24" s="9" t="s">
        <v>81</v>
      </c>
      <c r="C24" s="10" t="s">
        <v>82</v>
      </c>
      <c r="D24" s="10" t="s">
        <v>506</v>
      </c>
      <c r="E24" s="2" t="s">
        <v>77</v>
      </c>
      <c r="F24" s="74">
        <v>0.51</v>
      </c>
      <c r="G24" s="74"/>
      <c r="H24" s="74"/>
      <c r="I24" s="74"/>
      <c r="J24" s="74"/>
      <c r="K24" s="74"/>
      <c r="L24" s="74"/>
      <c r="M24" s="10"/>
      <c r="N24" s="80">
        <f t="shared" si="0"/>
        <v>0.51</v>
      </c>
    </row>
    <row r="25" spans="1:14" x14ac:dyDescent="0.25">
      <c r="A25" s="2" t="s">
        <v>74</v>
      </c>
      <c r="B25" s="9" t="s">
        <v>83</v>
      </c>
      <c r="C25" s="10" t="s">
        <v>84</v>
      </c>
      <c r="D25" s="10" t="s">
        <v>507</v>
      </c>
      <c r="E25" s="2" t="s">
        <v>77</v>
      </c>
      <c r="F25" s="74">
        <v>1.08</v>
      </c>
      <c r="G25" s="74"/>
      <c r="H25" s="74"/>
      <c r="I25" s="74"/>
      <c r="J25" s="74"/>
      <c r="K25" s="74"/>
      <c r="L25" s="74"/>
      <c r="M25" s="10"/>
      <c r="N25" s="80">
        <f t="shared" si="0"/>
        <v>1.08</v>
      </c>
    </row>
    <row r="26" spans="1:14" x14ac:dyDescent="0.25">
      <c r="A26" s="2" t="s">
        <v>74</v>
      </c>
      <c r="B26" s="9" t="s">
        <v>85</v>
      </c>
      <c r="C26" s="10" t="s">
        <v>86</v>
      </c>
      <c r="D26" s="10" t="s">
        <v>508</v>
      </c>
      <c r="E26" s="2" t="s">
        <v>77</v>
      </c>
      <c r="F26" s="74">
        <v>0.53</v>
      </c>
      <c r="G26" s="74"/>
      <c r="H26" s="74"/>
      <c r="I26" s="74"/>
      <c r="J26" s="74"/>
      <c r="K26" s="74"/>
      <c r="L26" s="74"/>
      <c r="M26" s="10"/>
      <c r="N26" s="80">
        <f t="shared" si="0"/>
        <v>0.53</v>
      </c>
    </row>
    <row r="27" spans="1:14" x14ac:dyDescent="0.25">
      <c r="A27" s="2" t="s">
        <v>74</v>
      </c>
      <c r="B27" s="9" t="s">
        <v>87</v>
      </c>
      <c r="C27" s="10" t="s">
        <v>88</v>
      </c>
      <c r="D27" s="10" t="s">
        <v>509</v>
      </c>
      <c r="E27" s="2" t="s">
        <v>77</v>
      </c>
      <c r="F27" s="74">
        <v>0.68</v>
      </c>
      <c r="G27" s="74"/>
      <c r="H27" s="74"/>
      <c r="I27" s="74"/>
      <c r="J27" s="74"/>
      <c r="K27" s="74"/>
      <c r="L27" s="74"/>
      <c r="M27" s="10"/>
      <c r="N27" s="80">
        <f t="shared" si="0"/>
        <v>0.68</v>
      </c>
    </row>
    <row r="28" spans="1:14" x14ac:dyDescent="0.25">
      <c r="A28" s="2" t="s">
        <v>74</v>
      </c>
      <c r="B28" s="9" t="s">
        <v>89</v>
      </c>
      <c r="C28" s="10" t="s">
        <v>90</v>
      </c>
      <c r="D28" s="10" t="s">
        <v>510</v>
      </c>
      <c r="E28" s="2" t="s">
        <v>91</v>
      </c>
      <c r="F28" s="74">
        <v>0.32</v>
      </c>
      <c r="G28" s="74"/>
      <c r="H28" s="74"/>
      <c r="I28" s="74"/>
      <c r="J28" s="74"/>
      <c r="K28" s="74"/>
      <c r="L28" s="74"/>
      <c r="M28" s="10"/>
      <c r="N28" s="80">
        <f t="shared" si="0"/>
        <v>0.32</v>
      </c>
    </row>
    <row r="29" spans="1:14" x14ac:dyDescent="0.25">
      <c r="A29" s="2" t="s">
        <v>74</v>
      </c>
      <c r="B29" s="9" t="s">
        <v>93</v>
      </c>
      <c r="C29" s="10" t="s">
        <v>94</v>
      </c>
      <c r="D29" s="10" t="s">
        <v>511</v>
      </c>
      <c r="E29" s="2" t="s">
        <v>77</v>
      </c>
      <c r="F29" s="74">
        <v>0.15</v>
      </c>
      <c r="G29" s="74"/>
      <c r="H29" s="74"/>
      <c r="I29" s="74"/>
      <c r="J29" s="74"/>
      <c r="K29" s="74"/>
      <c r="L29" s="74"/>
      <c r="M29" s="10"/>
      <c r="N29" s="80">
        <f t="shared" si="0"/>
        <v>0.15</v>
      </c>
    </row>
    <row r="30" spans="1:14" x14ac:dyDescent="0.25">
      <c r="A30" s="2" t="s">
        <v>74</v>
      </c>
      <c r="B30" s="9" t="s">
        <v>95</v>
      </c>
      <c r="C30" s="10" t="s">
        <v>96</v>
      </c>
      <c r="D30" s="10" t="s">
        <v>512</v>
      </c>
      <c r="E30" s="2" t="s">
        <v>91</v>
      </c>
      <c r="F30" s="74">
        <v>0.16</v>
      </c>
      <c r="G30" s="74"/>
      <c r="H30" s="74"/>
      <c r="I30" s="74"/>
      <c r="J30" s="74"/>
      <c r="K30" s="74"/>
      <c r="L30" s="74"/>
      <c r="M30" s="10"/>
      <c r="N30" s="80">
        <f t="shared" si="0"/>
        <v>0.16</v>
      </c>
    </row>
    <row r="31" spans="1:14" x14ac:dyDescent="0.25">
      <c r="A31" s="2" t="s">
        <v>74</v>
      </c>
      <c r="B31" s="9" t="s">
        <v>97</v>
      </c>
      <c r="C31" s="10" t="s">
        <v>98</v>
      </c>
      <c r="D31" s="10" t="s">
        <v>513</v>
      </c>
      <c r="E31" s="22" t="s">
        <v>91</v>
      </c>
      <c r="F31" s="74">
        <v>1.45</v>
      </c>
      <c r="G31" s="74"/>
      <c r="H31" s="74"/>
      <c r="I31" s="74"/>
      <c r="J31" s="74"/>
      <c r="K31" s="74"/>
      <c r="L31" s="74"/>
      <c r="M31" s="10"/>
      <c r="N31" s="80">
        <f t="shared" si="0"/>
        <v>1.45</v>
      </c>
    </row>
    <row r="32" spans="1:14" x14ac:dyDescent="0.25">
      <c r="A32" s="2" t="s">
        <v>74</v>
      </c>
      <c r="B32" s="9" t="s">
        <v>100</v>
      </c>
      <c r="C32" s="10" t="s">
        <v>101</v>
      </c>
      <c r="D32" s="10" t="s">
        <v>518</v>
      </c>
      <c r="E32" s="2" t="s">
        <v>77</v>
      </c>
      <c r="F32" s="74">
        <v>0.9</v>
      </c>
      <c r="G32" s="74"/>
      <c r="H32" s="74"/>
      <c r="I32" s="74"/>
      <c r="J32" s="74"/>
      <c r="K32" s="74"/>
      <c r="L32" s="74"/>
      <c r="M32" s="10"/>
      <c r="N32" s="80">
        <f t="shared" si="0"/>
        <v>0.9</v>
      </c>
    </row>
    <row r="33" spans="1:14" x14ac:dyDescent="0.25">
      <c r="A33" s="2" t="s">
        <v>74</v>
      </c>
      <c r="B33" s="9" t="s">
        <v>102</v>
      </c>
      <c r="C33" s="10" t="s">
        <v>103</v>
      </c>
      <c r="D33" s="10" t="s">
        <v>519</v>
      </c>
      <c r="E33" s="2" t="s">
        <v>77</v>
      </c>
      <c r="F33" s="74">
        <v>0.76</v>
      </c>
      <c r="G33" s="74"/>
      <c r="H33" s="74"/>
      <c r="I33" s="74"/>
      <c r="J33" s="74"/>
      <c r="K33" s="74"/>
      <c r="L33" s="74"/>
      <c r="M33" s="10"/>
      <c r="N33" s="80">
        <f t="shared" si="0"/>
        <v>0.76</v>
      </c>
    </row>
    <row r="34" spans="1:14" x14ac:dyDescent="0.25">
      <c r="A34" s="2" t="s">
        <v>74</v>
      </c>
      <c r="B34" s="9" t="s">
        <v>104</v>
      </c>
      <c r="C34" s="10" t="s">
        <v>105</v>
      </c>
      <c r="D34" s="10" t="s">
        <v>520</v>
      </c>
      <c r="E34" s="2" t="s">
        <v>77</v>
      </c>
      <c r="F34" s="74">
        <v>1.25</v>
      </c>
      <c r="G34" s="74"/>
      <c r="H34" s="74"/>
      <c r="I34" s="74"/>
      <c r="J34" s="74"/>
      <c r="K34" s="74"/>
      <c r="L34" s="74"/>
      <c r="M34" s="10"/>
      <c r="N34" s="80">
        <f t="shared" si="0"/>
        <v>1.25</v>
      </c>
    </row>
    <row r="35" spans="1:14" x14ac:dyDescent="0.25">
      <c r="A35" s="2" t="s">
        <v>74</v>
      </c>
      <c r="B35" s="9" t="s">
        <v>106</v>
      </c>
      <c r="C35" s="10" t="s">
        <v>107</v>
      </c>
      <c r="D35" s="10" t="s">
        <v>521</v>
      </c>
      <c r="E35" s="2" t="s">
        <v>77</v>
      </c>
      <c r="F35" s="74">
        <v>1.65</v>
      </c>
      <c r="G35" s="74"/>
      <c r="H35" s="74"/>
      <c r="I35" s="74"/>
      <c r="J35" s="74"/>
      <c r="K35" s="74"/>
      <c r="L35" s="74"/>
      <c r="M35" s="10"/>
      <c r="N35" s="80">
        <f t="shared" si="0"/>
        <v>1.65</v>
      </c>
    </row>
    <row r="36" spans="1:14" x14ac:dyDescent="0.25">
      <c r="A36" s="2" t="s">
        <v>74</v>
      </c>
      <c r="B36" s="9" t="s">
        <v>108</v>
      </c>
      <c r="C36" s="10" t="s">
        <v>109</v>
      </c>
      <c r="D36" s="10" t="s">
        <v>522</v>
      </c>
      <c r="E36" s="2" t="s">
        <v>77</v>
      </c>
      <c r="F36" s="74">
        <v>0.87</v>
      </c>
      <c r="G36" s="74"/>
      <c r="H36" s="74"/>
      <c r="I36" s="74"/>
      <c r="J36" s="74"/>
      <c r="K36" s="74"/>
      <c r="L36" s="74"/>
      <c r="M36" s="10"/>
      <c r="N36" s="80">
        <f t="shared" si="0"/>
        <v>0.87</v>
      </c>
    </row>
    <row r="37" spans="1:14" x14ac:dyDescent="0.25">
      <c r="A37" s="10" t="s">
        <v>118</v>
      </c>
      <c r="B37" s="15" t="s">
        <v>119</v>
      </c>
      <c r="C37" s="10" t="s">
        <v>120</v>
      </c>
      <c r="D37" s="10" t="s">
        <v>531</v>
      </c>
      <c r="E37" s="28" t="s">
        <v>121</v>
      </c>
      <c r="F37" s="74">
        <v>0.76</v>
      </c>
      <c r="G37" s="74">
        <v>0.23</v>
      </c>
      <c r="H37" s="74"/>
      <c r="I37" s="74"/>
      <c r="J37" s="74"/>
      <c r="K37" s="74"/>
      <c r="L37" s="74"/>
      <c r="M37" s="10"/>
      <c r="N37" s="80">
        <f>+F37+G37</f>
        <v>0.99</v>
      </c>
    </row>
    <row r="38" spans="1:14" x14ac:dyDescent="0.25">
      <c r="A38" s="10" t="s">
        <v>118</v>
      </c>
      <c r="B38" s="15" t="s">
        <v>122</v>
      </c>
      <c r="C38" s="10" t="s">
        <v>123</v>
      </c>
      <c r="D38" s="10" t="s">
        <v>533</v>
      </c>
      <c r="E38" s="28" t="s">
        <v>121</v>
      </c>
      <c r="F38" s="74">
        <v>1.704</v>
      </c>
      <c r="G38" s="74">
        <v>0.25</v>
      </c>
      <c r="H38" s="74"/>
      <c r="I38" s="74"/>
      <c r="J38" s="74"/>
      <c r="K38" s="74"/>
      <c r="L38" s="74"/>
      <c r="M38" s="10"/>
      <c r="N38" s="80">
        <f t="shared" ref="N38:N48" si="1">+F38+G38</f>
        <v>1.954</v>
      </c>
    </row>
    <row r="39" spans="1:14" x14ac:dyDescent="0.25">
      <c r="A39" s="10" t="s">
        <v>118</v>
      </c>
      <c r="B39" s="15" t="s">
        <v>124</v>
      </c>
      <c r="C39" s="10" t="s">
        <v>125</v>
      </c>
      <c r="D39" s="10" t="s">
        <v>532</v>
      </c>
      <c r="E39" s="28" t="s">
        <v>121</v>
      </c>
      <c r="F39" s="74">
        <v>1.704</v>
      </c>
      <c r="G39" s="74">
        <v>0.25</v>
      </c>
      <c r="H39" s="74"/>
      <c r="I39" s="74"/>
      <c r="J39" s="74"/>
      <c r="K39" s="74"/>
      <c r="L39" s="74"/>
      <c r="M39" s="10"/>
      <c r="N39" s="80">
        <f t="shared" si="1"/>
        <v>1.954</v>
      </c>
    </row>
    <row r="40" spans="1:14" x14ac:dyDescent="0.25">
      <c r="A40" s="10" t="s">
        <v>118</v>
      </c>
      <c r="B40" s="15" t="s">
        <v>126</v>
      </c>
      <c r="C40" s="10" t="s">
        <v>127</v>
      </c>
      <c r="D40" s="10" t="s">
        <v>525</v>
      </c>
      <c r="E40" s="28" t="s">
        <v>121</v>
      </c>
      <c r="F40" s="74">
        <v>2.8239999999999998</v>
      </c>
      <c r="G40" s="74">
        <v>0.28000000000000003</v>
      </c>
      <c r="H40" s="74"/>
      <c r="I40" s="74"/>
      <c r="J40" s="74"/>
      <c r="K40" s="74"/>
      <c r="L40" s="74"/>
      <c r="M40" s="10"/>
      <c r="N40" s="80">
        <f t="shared" si="1"/>
        <v>3.1040000000000001</v>
      </c>
    </row>
    <row r="41" spans="1:14" x14ac:dyDescent="0.25">
      <c r="A41" s="10" t="s">
        <v>118</v>
      </c>
      <c r="B41" s="15" t="s">
        <v>128</v>
      </c>
      <c r="C41" s="10" t="s">
        <v>129</v>
      </c>
      <c r="D41" s="10" t="s">
        <v>523</v>
      </c>
      <c r="E41" s="28" t="s">
        <v>121</v>
      </c>
      <c r="F41" s="74">
        <v>2.8239999999999998</v>
      </c>
      <c r="G41" s="74">
        <v>0.28000000000000003</v>
      </c>
      <c r="H41" s="74"/>
      <c r="I41" s="74"/>
      <c r="J41" s="74"/>
      <c r="K41" s="74"/>
      <c r="L41" s="74"/>
      <c r="M41" s="10"/>
      <c r="N41" s="80">
        <f t="shared" si="1"/>
        <v>3.1040000000000001</v>
      </c>
    </row>
    <row r="42" spans="1:14" x14ac:dyDescent="0.25">
      <c r="A42" s="10" t="s">
        <v>118</v>
      </c>
      <c r="B42" s="15" t="s">
        <v>130</v>
      </c>
      <c r="C42" s="10" t="s">
        <v>131</v>
      </c>
      <c r="D42" s="10" t="s">
        <v>529</v>
      </c>
      <c r="E42" s="28" t="s">
        <v>121</v>
      </c>
      <c r="F42" s="74">
        <v>0.78800000000000003</v>
      </c>
      <c r="G42" s="74">
        <v>0.17</v>
      </c>
      <c r="H42" s="74"/>
      <c r="I42" s="74"/>
      <c r="J42" s="74"/>
      <c r="K42" s="74"/>
      <c r="L42" s="74"/>
      <c r="M42" s="10"/>
      <c r="N42" s="80">
        <f t="shared" si="1"/>
        <v>0.95800000000000007</v>
      </c>
    </row>
    <row r="43" spans="1:14" x14ac:dyDescent="0.25">
      <c r="A43" s="10" t="s">
        <v>118</v>
      </c>
      <c r="B43" s="15" t="s">
        <v>132</v>
      </c>
      <c r="C43" s="10" t="s">
        <v>133</v>
      </c>
      <c r="D43" s="10" t="s">
        <v>526</v>
      </c>
      <c r="E43" s="28" t="s">
        <v>121</v>
      </c>
      <c r="F43" s="74">
        <v>3.72</v>
      </c>
      <c r="G43" s="74">
        <v>0.3</v>
      </c>
      <c r="H43" s="74"/>
      <c r="I43" s="74"/>
      <c r="J43" s="74"/>
      <c r="K43" s="74"/>
      <c r="L43" s="74"/>
      <c r="M43" s="10"/>
      <c r="N43" s="80">
        <f t="shared" si="1"/>
        <v>4.0200000000000005</v>
      </c>
    </row>
    <row r="44" spans="1:14" x14ac:dyDescent="0.25">
      <c r="A44" s="10" t="s">
        <v>118</v>
      </c>
      <c r="B44" s="15" t="s">
        <v>134</v>
      </c>
      <c r="C44" s="10" t="s">
        <v>135</v>
      </c>
      <c r="D44" s="10" t="s">
        <v>530</v>
      </c>
      <c r="E44" s="28" t="s">
        <v>121</v>
      </c>
      <c r="F44" s="74">
        <v>7.0250000000000004</v>
      </c>
      <c r="G44" s="74">
        <v>0.5</v>
      </c>
      <c r="H44" s="74" t="s">
        <v>559</v>
      </c>
      <c r="I44" s="74"/>
      <c r="J44" s="74"/>
      <c r="K44" s="74"/>
      <c r="L44" s="74"/>
      <c r="M44" s="10"/>
      <c r="N44" s="80">
        <f t="shared" si="1"/>
        <v>7.5250000000000004</v>
      </c>
    </row>
    <row r="45" spans="1:14" x14ac:dyDescent="0.25">
      <c r="A45" s="10" t="s">
        <v>118</v>
      </c>
      <c r="B45" s="15" t="s">
        <v>136</v>
      </c>
      <c r="C45" s="10" t="s">
        <v>137</v>
      </c>
      <c r="D45" s="10" t="s">
        <v>528</v>
      </c>
      <c r="E45" s="28" t="s">
        <v>121</v>
      </c>
      <c r="F45" s="74">
        <v>5.2809999999999997</v>
      </c>
      <c r="G45" s="74">
        <v>0.28999999999999998</v>
      </c>
      <c r="H45" s="74"/>
      <c r="I45" s="74"/>
      <c r="J45" s="74"/>
      <c r="K45" s="74"/>
      <c r="L45" s="74"/>
      <c r="M45" s="10"/>
      <c r="N45" s="80">
        <f t="shared" si="1"/>
        <v>5.5709999999999997</v>
      </c>
    </row>
    <row r="46" spans="1:14" x14ac:dyDescent="0.25">
      <c r="A46" s="10" t="s">
        <v>118</v>
      </c>
      <c r="B46" s="15" t="s">
        <v>138</v>
      </c>
      <c r="C46" s="10" t="s">
        <v>139</v>
      </c>
      <c r="D46" s="10" t="s">
        <v>527</v>
      </c>
      <c r="E46" s="28" t="s">
        <v>121</v>
      </c>
      <c r="F46" s="74">
        <v>5.2809999999999997</v>
      </c>
      <c r="G46" s="74">
        <v>0.28999999999999998</v>
      </c>
      <c r="H46" s="74"/>
      <c r="I46" s="74"/>
      <c r="J46" s="74"/>
      <c r="K46" s="74"/>
      <c r="L46" s="74"/>
      <c r="M46" s="10"/>
      <c r="N46" s="80">
        <f t="shared" si="1"/>
        <v>5.5709999999999997</v>
      </c>
    </row>
    <row r="47" spans="1:14" x14ac:dyDescent="0.25">
      <c r="A47" s="10" t="s">
        <v>118</v>
      </c>
      <c r="B47" s="15" t="s">
        <v>140</v>
      </c>
      <c r="C47" s="10" t="s">
        <v>141</v>
      </c>
      <c r="D47" s="10" t="s">
        <v>534</v>
      </c>
      <c r="E47" s="28" t="s">
        <v>121</v>
      </c>
      <c r="F47" s="74">
        <v>7.2690000000000001</v>
      </c>
      <c r="G47" s="74">
        <v>1.3</v>
      </c>
      <c r="H47" s="74"/>
      <c r="I47" s="74"/>
      <c r="J47" s="74"/>
      <c r="K47" s="74"/>
      <c r="L47" s="74"/>
      <c r="M47" s="10"/>
      <c r="N47" s="80">
        <f t="shared" si="1"/>
        <v>8.5690000000000008</v>
      </c>
    </row>
    <row r="48" spans="1:14" x14ac:dyDescent="0.25">
      <c r="A48" s="10" t="s">
        <v>118</v>
      </c>
      <c r="B48" s="15" t="s">
        <v>142</v>
      </c>
      <c r="C48" s="10" t="s">
        <v>143</v>
      </c>
      <c r="D48" s="10" t="s">
        <v>535</v>
      </c>
      <c r="E48" s="28" t="s">
        <v>121</v>
      </c>
      <c r="F48" s="74">
        <v>7.1609999999999996</v>
      </c>
      <c r="G48" s="74">
        <v>1.3</v>
      </c>
      <c r="H48" s="74"/>
      <c r="I48" s="74"/>
      <c r="J48" s="74"/>
      <c r="K48" s="74"/>
      <c r="L48" s="74"/>
      <c r="M48" s="10"/>
      <c r="N48" s="80">
        <f t="shared" si="1"/>
        <v>8.4610000000000003</v>
      </c>
    </row>
    <row r="49" spans="1:14" x14ac:dyDescent="0.25">
      <c r="A49" s="10" t="s">
        <v>148</v>
      </c>
      <c r="B49" s="15" t="s">
        <v>149</v>
      </c>
      <c r="C49" s="10"/>
      <c r="D49" s="30" t="s">
        <v>150</v>
      </c>
      <c r="E49" s="10"/>
      <c r="F49" s="74">
        <v>7.4160000000000007E-3</v>
      </c>
      <c r="G49" s="74"/>
      <c r="H49" s="74"/>
      <c r="I49" s="74"/>
      <c r="J49" s="74"/>
      <c r="K49" s="74"/>
      <c r="L49" s="74"/>
      <c r="M49" s="51" t="s">
        <v>561</v>
      </c>
      <c r="N49" s="80">
        <f>+F49</f>
        <v>7.4160000000000007E-3</v>
      </c>
    </row>
    <row r="50" spans="1:14" x14ac:dyDescent="0.25">
      <c r="A50" s="10" t="s">
        <v>148</v>
      </c>
      <c r="B50" s="15" t="s">
        <v>153</v>
      </c>
      <c r="C50" s="10"/>
      <c r="D50" s="30" t="s">
        <v>154</v>
      </c>
      <c r="E50" s="10"/>
      <c r="F50" s="74">
        <v>1.2565999999999999E-2</v>
      </c>
      <c r="G50" s="74"/>
      <c r="H50" s="74"/>
      <c r="I50" s="74"/>
      <c r="J50" s="74"/>
      <c r="K50" s="74"/>
      <c r="L50" s="74"/>
      <c r="M50" s="51" t="s">
        <v>155</v>
      </c>
      <c r="N50" s="80">
        <f>+F50</f>
        <v>1.2565999999999999E-2</v>
      </c>
    </row>
    <row r="51" spans="1:14" x14ac:dyDescent="0.25">
      <c r="A51" s="10" t="s">
        <v>148</v>
      </c>
      <c r="B51" s="15" t="s">
        <v>156</v>
      </c>
      <c r="C51" s="10"/>
      <c r="D51" s="32" t="s">
        <v>157</v>
      </c>
      <c r="E51" s="10"/>
      <c r="F51" s="74">
        <v>6.7979999999999999E-2</v>
      </c>
      <c r="G51" s="74"/>
      <c r="H51" s="74"/>
      <c r="I51" s="74"/>
      <c r="J51" s="74"/>
      <c r="K51" s="74"/>
      <c r="L51" s="74"/>
      <c r="M51" s="10"/>
      <c r="N51" s="80">
        <f t="shared" ref="N51:N86" si="2">+F51</f>
        <v>6.7979999999999999E-2</v>
      </c>
    </row>
    <row r="52" spans="1:14" x14ac:dyDescent="0.25">
      <c r="A52" s="10" t="s">
        <v>148</v>
      </c>
      <c r="B52" s="15" t="s">
        <v>158</v>
      </c>
      <c r="C52" s="10" t="s">
        <v>159</v>
      </c>
      <c r="D52" s="32" t="s">
        <v>160</v>
      </c>
      <c r="E52" s="10"/>
      <c r="F52" s="74">
        <v>0.1449</v>
      </c>
      <c r="G52" s="74"/>
      <c r="H52" s="74"/>
      <c r="I52" s="74"/>
      <c r="J52" s="74"/>
      <c r="K52" s="74"/>
      <c r="L52" s="74"/>
      <c r="M52" s="10" t="s">
        <v>161</v>
      </c>
      <c r="N52" s="80">
        <f t="shared" si="2"/>
        <v>0.1449</v>
      </c>
    </row>
    <row r="53" spans="1:14" x14ac:dyDescent="0.25">
      <c r="A53" s="10" t="s">
        <v>148</v>
      </c>
      <c r="B53" s="15" t="s">
        <v>163</v>
      </c>
      <c r="C53" s="10" t="s">
        <v>164</v>
      </c>
      <c r="D53" s="32" t="s">
        <v>165</v>
      </c>
      <c r="E53" s="10"/>
      <c r="F53" s="74">
        <v>4.9439999999999998E-2</v>
      </c>
      <c r="G53" s="74"/>
      <c r="H53" s="74"/>
      <c r="I53" s="74"/>
      <c r="J53" s="74"/>
      <c r="K53" s="74"/>
      <c r="L53" s="74"/>
      <c r="M53" s="10" t="s">
        <v>166</v>
      </c>
      <c r="N53" s="80">
        <f t="shared" si="2"/>
        <v>4.9439999999999998E-2</v>
      </c>
    </row>
    <row r="54" spans="1:14" x14ac:dyDescent="0.25">
      <c r="A54" s="10" t="s">
        <v>148</v>
      </c>
      <c r="B54" s="15" t="s">
        <v>167</v>
      </c>
      <c r="C54" s="10" t="s">
        <v>168</v>
      </c>
      <c r="D54" s="32" t="s">
        <v>169</v>
      </c>
      <c r="E54" s="10"/>
      <c r="F54" s="74">
        <v>2.9664000000000003E-2</v>
      </c>
      <c r="G54" s="74"/>
      <c r="H54" s="74"/>
      <c r="I54" s="74"/>
      <c r="J54" s="74"/>
      <c r="K54" s="74"/>
      <c r="L54" s="74"/>
      <c r="M54" s="10"/>
      <c r="N54" s="80">
        <f t="shared" si="2"/>
        <v>2.9664000000000003E-2</v>
      </c>
    </row>
    <row r="55" spans="1:14" x14ac:dyDescent="0.25">
      <c r="A55" s="10" t="s">
        <v>148</v>
      </c>
      <c r="B55" s="15" t="s">
        <v>170</v>
      </c>
      <c r="C55" s="10" t="s">
        <v>171</v>
      </c>
      <c r="D55" s="32" t="s">
        <v>172</v>
      </c>
      <c r="E55" s="10"/>
      <c r="F55" s="74">
        <v>5.253E-2</v>
      </c>
      <c r="G55" s="74"/>
      <c r="H55" s="74"/>
      <c r="I55" s="74"/>
      <c r="J55" s="74"/>
      <c r="K55" s="74"/>
      <c r="L55" s="74"/>
      <c r="M55" s="10"/>
      <c r="N55" s="80">
        <f t="shared" si="2"/>
        <v>5.253E-2</v>
      </c>
    </row>
    <row r="56" spans="1:14" x14ac:dyDescent="0.25">
      <c r="A56" s="10" t="s">
        <v>148</v>
      </c>
      <c r="B56" s="15" t="s">
        <v>173</v>
      </c>
      <c r="C56" s="10" t="s">
        <v>174</v>
      </c>
      <c r="D56" s="32" t="s">
        <v>175</v>
      </c>
      <c r="E56" s="10"/>
      <c r="F56" s="74">
        <v>9.0640000000000009E-3</v>
      </c>
      <c r="G56" s="74"/>
      <c r="H56" s="74"/>
      <c r="I56" s="74"/>
      <c r="J56" s="74"/>
      <c r="K56" s="74"/>
      <c r="L56" s="74"/>
      <c r="M56" s="10"/>
      <c r="N56" s="80">
        <f t="shared" si="2"/>
        <v>9.0640000000000009E-3</v>
      </c>
    </row>
    <row r="57" spans="1:14" x14ac:dyDescent="0.25">
      <c r="A57" s="10" t="s">
        <v>148</v>
      </c>
      <c r="B57" s="15" t="s">
        <v>176</v>
      </c>
      <c r="C57" s="10" t="s">
        <v>174</v>
      </c>
      <c r="D57" s="32" t="s">
        <v>177</v>
      </c>
      <c r="E57" s="10"/>
      <c r="F57" s="74">
        <v>2.98E-2</v>
      </c>
      <c r="G57" s="74"/>
      <c r="H57" s="74"/>
      <c r="I57" s="74"/>
      <c r="J57" s="74"/>
      <c r="K57" s="74"/>
      <c r="L57" s="74"/>
      <c r="M57" s="2" t="s">
        <v>178</v>
      </c>
      <c r="N57" s="80">
        <f t="shared" si="2"/>
        <v>2.98E-2</v>
      </c>
    </row>
    <row r="58" spans="1:14" x14ac:dyDescent="0.25">
      <c r="A58" s="10" t="s">
        <v>148</v>
      </c>
      <c r="B58" s="15" t="s">
        <v>179</v>
      </c>
      <c r="C58" s="10" t="s">
        <v>171</v>
      </c>
      <c r="D58" s="32" t="s">
        <v>180</v>
      </c>
      <c r="E58" s="10"/>
      <c r="F58" s="74">
        <v>0.1611744</v>
      </c>
      <c r="G58" s="74"/>
      <c r="H58" s="74"/>
      <c r="I58" s="74"/>
      <c r="J58" s="74"/>
      <c r="K58" s="74"/>
      <c r="L58" s="74"/>
      <c r="M58" s="10"/>
      <c r="N58" s="80">
        <f t="shared" si="2"/>
        <v>0.1611744</v>
      </c>
    </row>
    <row r="59" spans="1:14" x14ac:dyDescent="0.25">
      <c r="A59" s="10" t="s">
        <v>148</v>
      </c>
      <c r="B59" s="15" t="s">
        <v>181</v>
      </c>
      <c r="C59" s="10" t="s">
        <v>182</v>
      </c>
      <c r="D59" s="32" t="s">
        <v>183</v>
      </c>
      <c r="E59" s="10"/>
      <c r="F59" s="74">
        <v>3.0488000000000005E-2</v>
      </c>
      <c r="G59" s="74"/>
      <c r="H59" s="74"/>
      <c r="I59" s="74"/>
      <c r="J59" s="74"/>
      <c r="K59" s="74"/>
      <c r="L59" s="74"/>
      <c r="M59" s="10"/>
      <c r="N59" s="80">
        <f t="shared" si="2"/>
        <v>3.0488000000000005E-2</v>
      </c>
    </row>
    <row r="60" spans="1:14" x14ac:dyDescent="0.25">
      <c r="A60" s="10" t="s">
        <v>148</v>
      </c>
      <c r="B60" s="15" t="s">
        <v>184</v>
      </c>
      <c r="C60" s="10" t="s">
        <v>185</v>
      </c>
      <c r="D60" s="32" t="s">
        <v>186</v>
      </c>
      <c r="E60" s="10"/>
      <c r="F60" s="74">
        <v>2.1259200000000002E-2</v>
      </c>
      <c r="G60" s="74"/>
      <c r="H60" s="74"/>
      <c r="I60" s="74"/>
      <c r="J60" s="74"/>
      <c r="K60" s="74"/>
      <c r="L60" s="74"/>
      <c r="M60" s="10"/>
      <c r="N60" s="80">
        <f t="shared" si="2"/>
        <v>2.1259200000000002E-2</v>
      </c>
    </row>
    <row r="61" spans="1:14" x14ac:dyDescent="0.25">
      <c r="A61" s="10" t="s">
        <v>148</v>
      </c>
      <c r="B61" s="15" t="s">
        <v>187</v>
      </c>
      <c r="C61" s="10"/>
      <c r="D61" s="32" t="s">
        <v>188</v>
      </c>
      <c r="E61" s="10"/>
      <c r="F61" s="74">
        <v>0.34399999999999997</v>
      </c>
      <c r="G61" s="74"/>
      <c r="H61" s="74"/>
      <c r="I61" s="74"/>
      <c r="J61" s="74"/>
      <c r="K61" s="74"/>
      <c r="L61" s="74"/>
      <c r="M61" s="10"/>
      <c r="N61" s="80">
        <f t="shared" si="2"/>
        <v>0.34399999999999997</v>
      </c>
    </row>
    <row r="62" spans="1:14" x14ac:dyDescent="0.25">
      <c r="A62" s="10" t="s">
        <v>148</v>
      </c>
      <c r="B62" s="15" t="s">
        <v>189</v>
      </c>
      <c r="C62" s="10" t="s">
        <v>190</v>
      </c>
      <c r="D62" s="32"/>
      <c r="E62" s="10"/>
      <c r="F62" s="74">
        <v>2.12E-2</v>
      </c>
      <c r="G62" s="74"/>
      <c r="H62" s="74"/>
      <c r="I62" s="74"/>
      <c r="J62" s="74"/>
      <c r="K62" s="74"/>
      <c r="L62" s="74"/>
      <c r="M62" s="10"/>
      <c r="N62" s="80">
        <f t="shared" si="2"/>
        <v>2.12E-2</v>
      </c>
    </row>
    <row r="63" spans="1:14" x14ac:dyDescent="0.25">
      <c r="A63" s="10" t="s">
        <v>148</v>
      </c>
      <c r="B63" s="15" t="s">
        <v>191</v>
      </c>
      <c r="C63" s="10"/>
      <c r="D63" s="32" t="s">
        <v>192</v>
      </c>
      <c r="E63" s="10"/>
      <c r="F63" s="74">
        <v>2.12E-2</v>
      </c>
      <c r="G63" s="74"/>
      <c r="H63" s="74"/>
      <c r="I63" s="74"/>
      <c r="J63" s="74"/>
      <c r="K63" s="74"/>
      <c r="L63" s="74"/>
      <c r="M63" s="10"/>
      <c r="N63" s="80">
        <f t="shared" si="2"/>
        <v>2.12E-2</v>
      </c>
    </row>
    <row r="64" spans="1:14" x14ac:dyDescent="0.25">
      <c r="A64" s="10" t="s">
        <v>148</v>
      </c>
      <c r="B64" s="15" t="s">
        <v>193</v>
      </c>
      <c r="C64" s="10"/>
      <c r="D64" s="32"/>
      <c r="E64" s="10" t="s">
        <v>194</v>
      </c>
      <c r="F64" s="74">
        <v>0.11</v>
      </c>
      <c r="G64" s="74"/>
      <c r="H64" s="74"/>
      <c r="I64" s="74"/>
      <c r="J64" s="74"/>
      <c r="K64" s="74"/>
      <c r="L64" s="74"/>
      <c r="M64" s="10"/>
      <c r="N64" s="80">
        <f t="shared" si="2"/>
        <v>0.11</v>
      </c>
    </row>
    <row r="65" spans="1:14" x14ac:dyDescent="0.25">
      <c r="A65" s="10" t="s">
        <v>148</v>
      </c>
      <c r="B65" s="15" t="s">
        <v>196</v>
      </c>
      <c r="C65" s="10"/>
      <c r="D65" s="32"/>
      <c r="E65" s="10" t="s">
        <v>194</v>
      </c>
      <c r="F65" s="74">
        <v>4.8000000000000001E-2</v>
      </c>
      <c r="G65" s="74"/>
      <c r="H65" s="74"/>
      <c r="I65" s="74"/>
      <c r="J65" s="74"/>
      <c r="K65" s="74"/>
      <c r="L65" s="74"/>
      <c r="M65" s="10"/>
      <c r="N65" s="80">
        <f t="shared" si="2"/>
        <v>4.8000000000000001E-2</v>
      </c>
    </row>
    <row r="66" spans="1:14" x14ac:dyDescent="0.25">
      <c r="A66" s="10" t="s">
        <v>198</v>
      </c>
      <c r="B66" s="9" t="s">
        <v>199</v>
      </c>
      <c r="C66" s="10"/>
      <c r="D66" s="2" t="s">
        <v>200</v>
      </c>
      <c r="E66" s="10"/>
      <c r="F66" s="74">
        <v>8.52</v>
      </c>
      <c r="G66" s="74"/>
      <c r="H66" s="74"/>
      <c r="I66" s="74"/>
      <c r="J66" s="74"/>
      <c r="K66" s="74"/>
      <c r="L66" s="74"/>
      <c r="M66" s="10"/>
      <c r="N66" s="80">
        <f t="shared" si="2"/>
        <v>8.52</v>
      </c>
    </row>
    <row r="67" spans="1:14" x14ac:dyDescent="0.25">
      <c r="A67" s="2" t="s">
        <v>204</v>
      </c>
      <c r="B67" s="9" t="s">
        <v>210</v>
      </c>
      <c r="C67" s="10" t="s">
        <v>211</v>
      </c>
      <c r="D67" s="30" t="s">
        <v>212</v>
      </c>
      <c r="E67" s="9" t="s">
        <v>77</v>
      </c>
      <c r="F67" s="74">
        <v>0.46</v>
      </c>
      <c r="G67" s="74"/>
      <c r="H67" s="74"/>
      <c r="I67" s="74"/>
      <c r="J67" s="74"/>
      <c r="K67" s="74"/>
      <c r="L67" s="74"/>
      <c r="M67" s="2"/>
      <c r="N67" s="80">
        <f t="shared" si="2"/>
        <v>0.46</v>
      </c>
    </row>
    <row r="68" spans="1:14" x14ac:dyDescent="0.25">
      <c r="A68" s="2" t="s">
        <v>213</v>
      </c>
      <c r="B68" s="9" t="s">
        <v>214</v>
      </c>
      <c r="C68" s="42" t="s">
        <v>215</v>
      </c>
      <c r="D68" s="2" t="s">
        <v>216</v>
      </c>
      <c r="E68" s="2"/>
      <c r="F68" s="74">
        <v>6</v>
      </c>
      <c r="G68" s="74"/>
      <c r="H68" s="74"/>
      <c r="I68" s="74"/>
      <c r="J68" s="74"/>
      <c r="K68" s="74"/>
      <c r="L68" s="74"/>
      <c r="M68" s="10"/>
      <c r="N68" s="80">
        <f t="shared" si="2"/>
        <v>6</v>
      </c>
    </row>
    <row r="69" spans="1:14" x14ac:dyDescent="0.25">
      <c r="A69" s="2" t="s">
        <v>218</v>
      </c>
      <c r="B69" s="9" t="s">
        <v>219</v>
      </c>
      <c r="C69" s="10" t="s">
        <v>220</v>
      </c>
      <c r="D69" s="32" t="s">
        <v>221</v>
      </c>
      <c r="E69" s="2" t="s">
        <v>222</v>
      </c>
      <c r="F69" s="74">
        <v>11.85</v>
      </c>
      <c r="G69" s="74"/>
      <c r="H69" s="74"/>
      <c r="I69" s="74"/>
      <c r="J69" s="74"/>
      <c r="K69" s="74"/>
      <c r="L69" s="74"/>
      <c r="M69" s="10"/>
      <c r="N69" s="80">
        <f t="shared" si="2"/>
        <v>11.85</v>
      </c>
    </row>
    <row r="70" spans="1:14" x14ac:dyDescent="0.25">
      <c r="A70" s="2" t="s">
        <v>218</v>
      </c>
      <c r="B70" s="9" t="s">
        <v>224</v>
      </c>
      <c r="C70" s="10" t="s">
        <v>225</v>
      </c>
      <c r="D70" s="32" t="s">
        <v>226</v>
      </c>
      <c r="E70" s="2" t="s">
        <v>227</v>
      </c>
      <c r="F70" s="74">
        <v>5.8659999999999997E-2</v>
      </c>
      <c r="G70" s="74"/>
      <c r="H70" s="74"/>
      <c r="I70" s="74"/>
      <c r="J70" s="74"/>
      <c r="K70" s="74"/>
      <c r="L70" s="74"/>
      <c r="M70" s="10"/>
      <c r="N70" s="80">
        <f t="shared" si="2"/>
        <v>5.8659999999999997E-2</v>
      </c>
    </row>
    <row r="71" spans="1:14" x14ac:dyDescent="0.25">
      <c r="A71" s="2" t="s">
        <v>218</v>
      </c>
      <c r="B71" s="9" t="s">
        <v>229</v>
      </c>
      <c r="C71" s="10" t="s">
        <v>230</v>
      </c>
      <c r="D71" s="45" t="s">
        <v>231</v>
      </c>
      <c r="E71" s="2" t="s">
        <v>222</v>
      </c>
      <c r="F71" s="74">
        <v>3.9070000000000001E-2</v>
      </c>
      <c r="G71" s="74"/>
      <c r="H71" s="74"/>
      <c r="I71" s="74"/>
      <c r="J71" s="74"/>
      <c r="K71" s="74"/>
      <c r="L71" s="74"/>
      <c r="M71" s="10"/>
      <c r="N71" s="80">
        <f t="shared" si="2"/>
        <v>3.9070000000000001E-2</v>
      </c>
    </row>
    <row r="72" spans="1:14" x14ac:dyDescent="0.25">
      <c r="A72" s="2" t="s">
        <v>218</v>
      </c>
      <c r="B72" s="9" t="s">
        <v>232</v>
      </c>
      <c r="C72" s="10" t="s">
        <v>233</v>
      </c>
      <c r="D72" s="45" t="s">
        <v>234</v>
      </c>
      <c r="E72" s="2" t="s">
        <v>222</v>
      </c>
      <c r="F72" s="74">
        <v>0.10241</v>
      </c>
      <c r="G72" s="74"/>
      <c r="H72" s="74"/>
      <c r="I72" s="74"/>
      <c r="J72" s="74"/>
      <c r="K72" s="74"/>
      <c r="L72" s="74"/>
      <c r="M72" s="10"/>
      <c r="N72" s="80">
        <f t="shared" si="2"/>
        <v>0.10241</v>
      </c>
    </row>
    <row r="73" spans="1:14" x14ac:dyDescent="0.25">
      <c r="A73" s="2" t="s">
        <v>218</v>
      </c>
      <c r="B73" s="9" t="s">
        <v>236</v>
      </c>
      <c r="C73" s="10" t="s">
        <v>237</v>
      </c>
      <c r="D73" s="45" t="s">
        <v>238</v>
      </c>
      <c r="E73" s="2" t="s">
        <v>222</v>
      </c>
      <c r="F73" s="74">
        <v>4.267E-2</v>
      </c>
      <c r="G73" s="74"/>
      <c r="H73" s="74"/>
      <c r="I73" s="74"/>
      <c r="J73" s="74"/>
      <c r="K73" s="74"/>
      <c r="L73" s="74"/>
      <c r="M73" s="10"/>
      <c r="N73" s="80">
        <f t="shared" si="2"/>
        <v>4.267E-2</v>
      </c>
    </row>
    <row r="74" spans="1:14" x14ac:dyDescent="0.25">
      <c r="A74" s="10" t="s">
        <v>240</v>
      </c>
      <c r="B74" s="15" t="s">
        <v>241</v>
      </c>
      <c r="C74" s="10" t="s">
        <v>242</v>
      </c>
      <c r="D74" s="2" t="s">
        <v>243</v>
      </c>
      <c r="E74" s="2" t="s">
        <v>244</v>
      </c>
      <c r="F74" s="74">
        <v>2.04</v>
      </c>
      <c r="G74" s="74"/>
      <c r="H74" s="74"/>
      <c r="I74" s="74"/>
      <c r="J74" s="74"/>
      <c r="K74" s="74"/>
      <c r="L74" s="74"/>
      <c r="M74" s="10"/>
      <c r="N74" s="80">
        <f t="shared" si="2"/>
        <v>2.04</v>
      </c>
    </row>
    <row r="75" spans="1:14" x14ac:dyDescent="0.25">
      <c r="A75" s="10" t="s">
        <v>240</v>
      </c>
      <c r="B75" s="15" t="s">
        <v>245</v>
      </c>
      <c r="C75" s="10" t="s">
        <v>246</v>
      </c>
      <c r="D75" s="2" t="s">
        <v>247</v>
      </c>
      <c r="E75" s="2" t="s">
        <v>244</v>
      </c>
      <c r="F75" s="74">
        <v>1.93</v>
      </c>
      <c r="G75" s="74"/>
      <c r="H75" s="74"/>
      <c r="I75" s="74"/>
      <c r="J75" s="74"/>
      <c r="K75" s="74"/>
      <c r="L75" s="74"/>
      <c r="M75" s="10"/>
      <c r="N75" s="80">
        <f t="shared" si="2"/>
        <v>1.93</v>
      </c>
    </row>
    <row r="76" spans="1:14" x14ac:dyDescent="0.25">
      <c r="A76" s="10" t="s">
        <v>240</v>
      </c>
      <c r="B76" s="15" t="s">
        <v>248</v>
      </c>
      <c r="C76" s="10" t="s">
        <v>249</v>
      </c>
      <c r="D76" s="2" t="s">
        <v>250</v>
      </c>
      <c r="E76" s="2" t="s">
        <v>244</v>
      </c>
      <c r="F76" s="74">
        <v>8.25</v>
      </c>
      <c r="G76" s="74"/>
      <c r="H76" s="74"/>
      <c r="I76" s="74"/>
      <c r="J76" s="74"/>
      <c r="K76" s="74"/>
      <c r="L76" s="74"/>
      <c r="M76" s="10"/>
      <c r="N76" s="80">
        <f t="shared" si="2"/>
        <v>8.25</v>
      </c>
    </row>
    <row r="77" spans="1:14" x14ac:dyDescent="0.25">
      <c r="A77" s="10" t="s">
        <v>240</v>
      </c>
      <c r="B77" s="15" t="s">
        <v>251</v>
      </c>
      <c r="C77" s="10" t="s">
        <v>252</v>
      </c>
      <c r="D77" s="2" t="s">
        <v>253</v>
      </c>
      <c r="E77" s="2" t="s">
        <v>244</v>
      </c>
      <c r="F77" s="74">
        <v>8.16</v>
      </c>
      <c r="G77" s="74"/>
      <c r="H77" s="74"/>
      <c r="I77" s="74"/>
      <c r="J77" s="74"/>
      <c r="K77" s="74"/>
      <c r="L77" s="74"/>
      <c r="M77" s="10"/>
      <c r="N77" s="80">
        <f t="shared" si="2"/>
        <v>8.16</v>
      </c>
    </row>
    <row r="78" spans="1:14" x14ac:dyDescent="0.25">
      <c r="A78" s="10" t="s">
        <v>254</v>
      </c>
      <c r="B78" s="9" t="s">
        <v>255</v>
      </c>
      <c r="C78" s="10" t="s">
        <v>256</v>
      </c>
      <c r="D78" s="2" t="s">
        <v>257</v>
      </c>
      <c r="E78" s="2" t="s">
        <v>244</v>
      </c>
      <c r="F78" s="74">
        <v>84.5</v>
      </c>
      <c r="G78" s="74"/>
      <c r="H78" s="74"/>
      <c r="I78" s="74"/>
      <c r="J78" s="74"/>
      <c r="K78" s="74"/>
      <c r="L78" s="74"/>
      <c r="M78" s="10"/>
      <c r="N78" s="80">
        <f t="shared" si="2"/>
        <v>84.5</v>
      </c>
    </row>
    <row r="79" spans="1:14" x14ac:dyDescent="0.25">
      <c r="A79" s="10" t="s">
        <v>254</v>
      </c>
      <c r="B79" s="9" t="s">
        <v>205</v>
      </c>
      <c r="C79" s="10" t="s">
        <v>206</v>
      </c>
      <c r="D79" s="32" t="s">
        <v>207</v>
      </c>
      <c r="E79" s="16" t="s">
        <v>208</v>
      </c>
      <c r="F79" s="74">
        <v>75.5</v>
      </c>
      <c r="G79" s="74"/>
      <c r="H79" s="74"/>
      <c r="I79" s="74"/>
      <c r="J79" s="74"/>
      <c r="K79" s="74"/>
      <c r="L79" s="74"/>
      <c r="M79" s="10"/>
      <c r="N79" s="80">
        <f t="shared" si="2"/>
        <v>75.5</v>
      </c>
    </row>
    <row r="80" spans="1:14" x14ac:dyDescent="0.25">
      <c r="A80" s="10" t="s">
        <v>258</v>
      </c>
      <c r="B80" s="15" t="s">
        <v>259</v>
      </c>
      <c r="C80" s="10" t="s">
        <v>260</v>
      </c>
      <c r="D80" s="2" t="s">
        <v>261</v>
      </c>
      <c r="E80" s="2" t="s">
        <v>244</v>
      </c>
      <c r="F80" s="74">
        <v>6.22</v>
      </c>
      <c r="G80" s="74"/>
      <c r="H80" s="74"/>
      <c r="I80" s="74"/>
      <c r="J80" s="74"/>
      <c r="K80" s="74"/>
      <c r="L80" s="74"/>
      <c r="M80" s="10"/>
      <c r="N80" s="80">
        <f t="shared" si="2"/>
        <v>6.22</v>
      </c>
    </row>
    <row r="81" spans="1:14" x14ac:dyDescent="0.25">
      <c r="A81" s="10" t="s">
        <v>258</v>
      </c>
      <c r="B81" s="15" t="s">
        <v>262</v>
      </c>
      <c r="C81" s="10" t="s">
        <v>263</v>
      </c>
      <c r="D81" s="2" t="s">
        <v>264</v>
      </c>
      <c r="E81" s="2" t="s">
        <v>244</v>
      </c>
      <c r="F81" s="74">
        <v>6.22</v>
      </c>
      <c r="G81" s="74"/>
      <c r="H81" s="74"/>
      <c r="I81" s="74"/>
      <c r="J81" s="74"/>
      <c r="K81" s="74"/>
      <c r="L81" s="74"/>
      <c r="M81" s="10"/>
      <c r="N81" s="80">
        <f t="shared" si="2"/>
        <v>6.22</v>
      </c>
    </row>
    <row r="82" spans="1:14" x14ac:dyDescent="0.25">
      <c r="A82" s="10" t="s">
        <v>258</v>
      </c>
      <c r="B82" s="15" t="s">
        <v>265</v>
      </c>
      <c r="C82" s="10" t="s">
        <v>266</v>
      </c>
      <c r="D82" s="2" t="s">
        <v>267</v>
      </c>
      <c r="E82" s="2" t="s">
        <v>244</v>
      </c>
      <c r="F82" s="74">
        <v>0.16</v>
      </c>
      <c r="G82" s="74"/>
      <c r="H82" s="74"/>
      <c r="I82" s="74"/>
      <c r="J82" s="74"/>
      <c r="K82" s="74"/>
      <c r="L82" s="74"/>
      <c r="M82" s="10"/>
      <c r="N82" s="80">
        <f t="shared" si="2"/>
        <v>0.16</v>
      </c>
    </row>
    <row r="83" spans="1:14" x14ac:dyDescent="0.25">
      <c r="A83" s="10" t="s">
        <v>268</v>
      </c>
      <c r="B83" s="9" t="s">
        <v>269</v>
      </c>
      <c r="C83" s="10" t="s">
        <v>270</v>
      </c>
      <c r="D83" s="2" t="s">
        <v>271</v>
      </c>
      <c r="E83" s="2" t="s">
        <v>244</v>
      </c>
      <c r="F83" s="74">
        <v>5</v>
      </c>
      <c r="G83" s="74"/>
      <c r="H83" s="74"/>
      <c r="I83" s="74"/>
      <c r="J83" s="74"/>
      <c r="K83" s="74"/>
      <c r="L83" s="74"/>
      <c r="M83" s="10"/>
      <c r="N83" s="80">
        <f t="shared" si="2"/>
        <v>5</v>
      </c>
    </row>
    <row r="84" spans="1:14" x14ac:dyDescent="0.25">
      <c r="A84" s="10" t="s">
        <v>268</v>
      </c>
      <c r="B84" s="48" t="s">
        <v>272</v>
      </c>
      <c r="C84" s="10" t="s">
        <v>273</v>
      </c>
      <c r="D84" s="2" t="s">
        <v>274</v>
      </c>
      <c r="E84" s="2" t="s">
        <v>244</v>
      </c>
      <c r="F84" s="74">
        <v>0.68</v>
      </c>
      <c r="G84" s="74"/>
      <c r="H84" s="74"/>
      <c r="I84" s="74"/>
      <c r="J84" s="74"/>
      <c r="K84" s="74"/>
      <c r="L84" s="74"/>
      <c r="M84" s="10"/>
      <c r="N84" s="80">
        <f t="shared" si="2"/>
        <v>0.68</v>
      </c>
    </row>
    <row r="85" spans="1:14" x14ac:dyDescent="0.25">
      <c r="A85" s="10" t="s">
        <v>268</v>
      </c>
      <c r="B85" s="48" t="s">
        <v>275</v>
      </c>
      <c r="C85" s="10" t="s">
        <v>276</v>
      </c>
      <c r="D85" s="2" t="s">
        <v>277</v>
      </c>
      <c r="E85" s="2" t="s">
        <v>244</v>
      </c>
      <c r="F85" s="74">
        <v>3</v>
      </c>
      <c r="G85" s="74"/>
      <c r="H85" s="74"/>
      <c r="I85" s="74"/>
      <c r="J85" s="74"/>
      <c r="K85" s="74"/>
      <c r="L85" s="74"/>
      <c r="M85" s="10"/>
      <c r="N85" s="80">
        <f t="shared" si="2"/>
        <v>3</v>
      </c>
    </row>
    <row r="86" spans="1:14" x14ac:dyDescent="0.25">
      <c r="A86" s="10" t="s">
        <v>268</v>
      </c>
      <c r="B86" s="9" t="s">
        <v>278</v>
      </c>
      <c r="C86" s="10" t="s">
        <v>279</v>
      </c>
      <c r="D86" s="2" t="s">
        <v>280</v>
      </c>
      <c r="E86" s="2" t="s">
        <v>244</v>
      </c>
      <c r="F86" s="74">
        <v>2.2999999999999998</v>
      </c>
      <c r="G86" s="74"/>
      <c r="H86" s="74"/>
      <c r="I86" s="74"/>
      <c r="J86" s="74"/>
      <c r="K86" s="74"/>
      <c r="L86" s="74"/>
      <c r="M86" s="10"/>
      <c r="N86" s="80">
        <f t="shared" si="2"/>
        <v>2.2999999999999998</v>
      </c>
    </row>
    <row r="87" spans="1:14" x14ac:dyDescent="0.25">
      <c r="A87" s="2" t="s">
        <v>281</v>
      </c>
      <c r="B87" s="9" t="s">
        <v>282</v>
      </c>
      <c r="C87" s="10" t="s">
        <v>283</v>
      </c>
      <c r="D87" s="2" t="s">
        <v>284</v>
      </c>
      <c r="E87" s="11" t="s">
        <v>285</v>
      </c>
      <c r="F87" s="74">
        <v>2.92</v>
      </c>
      <c r="G87" s="74">
        <v>0.27</v>
      </c>
      <c r="H87" s="74"/>
      <c r="I87" s="74"/>
      <c r="J87" s="74"/>
      <c r="K87" s="74"/>
      <c r="L87" s="74"/>
      <c r="M87" s="10"/>
      <c r="N87" s="80">
        <f>+F87+G87</f>
        <v>3.19</v>
      </c>
    </row>
    <row r="88" spans="1:14" x14ac:dyDescent="0.25">
      <c r="A88" s="2" t="s">
        <v>281</v>
      </c>
      <c r="B88" s="9" t="s">
        <v>286</v>
      </c>
      <c r="C88" s="10" t="s">
        <v>287</v>
      </c>
      <c r="D88" s="2" t="s">
        <v>288</v>
      </c>
      <c r="E88" s="11" t="s">
        <v>285</v>
      </c>
      <c r="F88" s="74">
        <v>2.92</v>
      </c>
      <c r="G88" s="74">
        <v>0.27</v>
      </c>
      <c r="H88" s="74"/>
      <c r="I88" s="74"/>
      <c r="J88" s="74"/>
      <c r="K88" s="74"/>
      <c r="L88" s="74"/>
      <c r="M88" s="10"/>
      <c r="N88" s="80">
        <f t="shared" ref="N88:N94" si="3">+F88+G88</f>
        <v>3.19</v>
      </c>
    </row>
    <row r="89" spans="1:14" x14ac:dyDescent="0.25">
      <c r="A89" s="2" t="s">
        <v>281</v>
      </c>
      <c r="B89" s="9" t="s">
        <v>289</v>
      </c>
      <c r="C89" s="10" t="s">
        <v>290</v>
      </c>
      <c r="D89" s="2" t="s">
        <v>291</v>
      </c>
      <c r="E89" s="11" t="s">
        <v>30</v>
      </c>
      <c r="F89" s="74">
        <v>2.44</v>
      </c>
      <c r="G89" s="74">
        <v>0.3</v>
      </c>
      <c r="H89" s="74" t="s">
        <v>559</v>
      </c>
      <c r="I89" s="74"/>
      <c r="J89" s="74"/>
      <c r="K89" s="74"/>
      <c r="L89" s="74"/>
      <c r="M89" s="10"/>
      <c r="N89" s="80">
        <f t="shared" si="3"/>
        <v>2.7399999999999998</v>
      </c>
    </row>
    <row r="90" spans="1:14" x14ac:dyDescent="0.25">
      <c r="A90" s="2" t="s">
        <v>281</v>
      </c>
      <c r="B90" s="9" t="s">
        <v>292</v>
      </c>
      <c r="C90" s="10" t="s">
        <v>293</v>
      </c>
      <c r="D90" s="2" t="s">
        <v>294</v>
      </c>
      <c r="E90" s="11" t="s">
        <v>30</v>
      </c>
      <c r="F90" s="74">
        <v>2.62</v>
      </c>
      <c r="G90" s="74">
        <v>0.3</v>
      </c>
      <c r="H90" s="74" t="s">
        <v>559</v>
      </c>
      <c r="I90" s="74"/>
      <c r="J90" s="74"/>
      <c r="K90" s="74"/>
      <c r="L90" s="74"/>
      <c r="M90" s="10"/>
      <c r="N90" s="80">
        <f t="shared" si="3"/>
        <v>2.92</v>
      </c>
    </row>
    <row r="91" spans="1:14" x14ac:dyDescent="0.25">
      <c r="A91" s="2" t="s">
        <v>281</v>
      </c>
      <c r="B91" s="9" t="s">
        <v>295</v>
      </c>
      <c r="C91" s="10" t="s">
        <v>296</v>
      </c>
      <c r="D91" s="2" t="s">
        <v>297</v>
      </c>
      <c r="E91" s="11" t="s">
        <v>30</v>
      </c>
      <c r="F91" s="74">
        <v>1.41</v>
      </c>
      <c r="G91" s="74">
        <v>0.5</v>
      </c>
      <c r="H91" s="74"/>
      <c r="I91" s="74"/>
      <c r="J91" s="74"/>
      <c r="K91" s="74"/>
      <c r="L91" s="74"/>
      <c r="M91" s="10"/>
      <c r="N91" s="80">
        <f t="shared" si="3"/>
        <v>1.91</v>
      </c>
    </row>
    <row r="92" spans="1:14" x14ac:dyDescent="0.25">
      <c r="A92" s="2" t="s">
        <v>281</v>
      </c>
      <c r="B92" s="9" t="s">
        <v>298</v>
      </c>
      <c r="C92" s="10" t="s">
        <v>299</v>
      </c>
      <c r="D92" s="2" t="s">
        <v>300</v>
      </c>
      <c r="E92" s="11" t="s">
        <v>30</v>
      </c>
      <c r="F92" s="74">
        <v>2.2799999999999998</v>
      </c>
      <c r="G92" s="74">
        <v>0.5</v>
      </c>
      <c r="H92" s="74" t="s">
        <v>559</v>
      </c>
      <c r="I92" s="74"/>
      <c r="J92" s="74"/>
      <c r="K92" s="74"/>
      <c r="L92" s="74"/>
      <c r="M92" s="10"/>
      <c r="N92" s="80">
        <f t="shared" si="3"/>
        <v>2.78</v>
      </c>
    </row>
    <row r="93" spans="1:14" x14ac:dyDescent="0.25">
      <c r="A93" s="2" t="s">
        <v>281</v>
      </c>
      <c r="B93" s="9" t="s">
        <v>301</v>
      </c>
      <c r="C93" s="10" t="s">
        <v>302</v>
      </c>
      <c r="D93" s="2" t="s">
        <v>303</v>
      </c>
      <c r="E93" s="11" t="s">
        <v>285</v>
      </c>
      <c r="F93" s="74">
        <v>1.04</v>
      </c>
      <c r="G93" s="74">
        <v>0.25</v>
      </c>
      <c r="H93" s="74"/>
      <c r="I93" s="74"/>
      <c r="J93" s="74"/>
      <c r="K93" s="74"/>
      <c r="L93" s="74"/>
      <c r="M93" s="10"/>
      <c r="N93" s="80">
        <f t="shared" si="3"/>
        <v>1.29</v>
      </c>
    </row>
    <row r="94" spans="1:14" x14ac:dyDescent="0.25">
      <c r="A94" s="2" t="s">
        <v>281</v>
      </c>
      <c r="B94" s="9" t="s">
        <v>304</v>
      </c>
      <c r="C94" s="10" t="s">
        <v>305</v>
      </c>
      <c r="D94" s="2" t="s">
        <v>306</v>
      </c>
      <c r="E94" s="11" t="s">
        <v>30</v>
      </c>
      <c r="F94" s="74">
        <v>1.31</v>
      </c>
      <c r="G94" s="74">
        <v>0.28000000000000003</v>
      </c>
      <c r="H94" s="74"/>
      <c r="I94" s="74"/>
      <c r="J94" s="74"/>
      <c r="K94" s="74"/>
      <c r="L94" s="74"/>
      <c r="M94" s="10"/>
      <c r="N94" s="80">
        <f t="shared" si="3"/>
        <v>1.59</v>
      </c>
    </row>
    <row r="95" spans="1:14" hidden="1" x14ac:dyDescent="0.25">
      <c r="A95" s="2" t="s">
        <v>281</v>
      </c>
      <c r="B95" s="9" t="s">
        <v>307</v>
      </c>
      <c r="C95" s="10" t="s">
        <v>308</v>
      </c>
      <c r="D95" s="2" t="s">
        <v>309</v>
      </c>
      <c r="E95" s="11" t="s">
        <v>53</v>
      </c>
      <c r="F95" s="74">
        <v>0.38</v>
      </c>
      <c r="G95" s="74" t="s">
        <v>362</v>
      </c>
      <c r="H95" s="74" t="s">
        <v>559</v>
      </c>
      <c r="I95" s="74"/>
      <c r="J95" s="74"/>
      <c r="K95" s="74"/>
      <c r="L95" s="74"/>
      <c r="M95" s="10"/>
      <c r="N95" s="78"/>
    </row>
    <row r="96" spans="1:14" x14ac:dyDescent="0.25">
      <c r="A96" s="2" t="s">
        <v>281</v>
      </c>
      <c r="B96" s="9" t="s">
        <v>310</v>
      </c>
      <c r="C96" s="10" t="s">
        <v>311</v>
      </c>
      <c r="D96" s="2" t="s">
        <v>312</v>
      </c>
      <c r="E96" s="11" t="s">
        <v>285</v>
      </c>
      <c r="F96" s="74">
        <v>1</v>
      </c>
      <c r="G96" s="74">
        <v>0.3</v>
      </c>
      <c r="H96" s="74" t="s">
        <v>559</v>
      </c>
      <c r="I96" s="74"/>
      <c r="J96" s="74"/>
      <c r="K96" s="74"/>
      <c r="L96" s="74"/>
      <c r="M96" s="10"/>
      <c r="N96" s="80">
        <f t="shared" ref="N96:N108" si="4">+F96+G96</f>
        <v>1.3</v>
      </c>
    </row>
    <row r="97" spans="1:14" x14ac:dyDescent="0.25">
      <c r="A97" s="2" t="s">
        <v>281</v>
      </c>
      <c r="B97" s="9" t="s">
        <v>313</v>
      </c>
      <c r="C97" s="10" t="s">
        <v>314</v>
      </c>
      <c r="D97" s="2" t="s">
        <v>315</v>
      </c>
      <c r="E97" s="11" t="s">
        <v>30</v>
      </c>
      <c r="F97" s="74">
        <v>3.57</v>
      </c>
      <c r="G97" s="74">
        <v>1.66</v>
      </c>
      <c r="H97" s="74" t="s">
        <v>559</v>
      </c>
      <c r="I97" s="74"/>
      <c r="J97" s="74"/>
      <c r="K97" s="74"/>
      <c r="L97" s="74"/>
      <c r="M97" s="10"/>
      <c r="N97" s="80">
        <f t="shared" si="4"/>
        <v>5.2299999999999995</v>
      </c>
    </row>
    <row r="98" spans="1:14" x14ac:dyDescent="0.25">
      <c r="A98" s="2" t="s">
        <v>281</v>
      </c>
      <c r="B98" s="9" t="s">
        <v>316</v>
      </c>
      <c r="C98" s="10" t="s">
        <v>317</v>
      </c>
      <c r="D98" s="2" t="s">
        <v>318</v>
      </c>
      <c r="E98" s="11" t="s">
        <v>30</v>
      </c>
      <c r="F98" s="74">
        <v>2.74</v>
      </c>
      <c r="G98" s="74">
        <v>0.25</v>
      </c>
      <c r="H98" s="74"/>
      <c r="I98" s="74"/>
      <c r="J98" s="74"/>
      <c r="K98" s="74"/>
      <c r="L98" s="74"/>
      <c r="M98" s="10"/>
      <c r="N98" s="80">
        <f t="shared" si="4"/>
        <v>2.99</v>
      </c>
    </row>
    <row r="99" spans="1:14" x14ac:dyDescent="0.25">
      <c r="A99" s="2" t="s">
        <v>281</v>
      </c>
      <c r="B99" s="9" t="s">
        <v>319</v>
      </c>
      <c r="C99" s="10" t="s">
        <v>320</v>
      </c>
      <c r="D99" s="2" t="s">
        <v>321</v>
      </c>
      <c r="E99" s="11" t="s">
        <v>30</v>
      </c>
      <c r="F99" s="74">
        <v>19.2</v>
      </c>
      <c r="G99" s="74">
        <v>1.66</v>
      </c>
      <c r="H99" s="74" t="s">
        <v>559</v>
      </c>
      <c r="I99" s="74"/>
      <c r="J99" s="74"/>
      <c r="K99" s="74"/>
      <c r="L99" s="74"/>
      <c r="M99" s="10"/>
      <c r="N99" s="80">
        <f t="shared" si="4"/>
        <v>20.86</v>
      </c>
    </row>
    <row r="100" spans="1:14" x14ac:dyDescent="0.25">
      <c r="A100" s="2" t="s">
        <v>281</v>
      </c>
      <c r="B100" s="9" t="s">
        <v>322</v>
      </c>
      <c r="C100" s="10" t="s">
        <v>323</v>
      </c>
      <c r="D100" s="2" t="s">
        <v>324</v>
      </c>
      <c r="E100" s="11" t="s">
        <v>30</v>
      </c>
      <c r="F100" s="74">
        <v>12.33</v>
      </c>
      <c r="G100" s="74">
        <v>1.66</v>
      </c>
      <c r="H100" s="74"/>
      <c r="I100" s="74"/>
      <c r="J100" s="74"/>
      <c r="K100" s="74"/>
      <c r="L100" s="74"/>
      <c r="M100" s="10"/>
      <c r="N100" s="80">
        <f t="shared" si="4"/>
        <v>13.99</v>
      </c>
    </row>
    <row r="101" spans="1:14" x14ac:dyDescent="0.25">
      <c r="A101" s="2" t="s">
        <v>281</v>
      </c>
      <c r="B101" s="9" t="s">
        <v>325</v>
      </c>
      <c r="C101" s="10" t="s">
        <v>326</v>
      </c>
      <c r="D101" s="2" t="s">
        <v>327</v>
      </c>
      <c r="E101" s="11" t="s">
        <v>30</v>
      </c>
      <c r="F101" s="74">
        <v>1.23</v>
      </c>
      <c r="G101" s="74">
        <v>1.66</v>
      </c>
      <c r="H101" s="74"/>
      <c r="I101" s="74"/>
      <c r="J101" s="74"/>
      <c r="K101" s="74"/>
      <c r="L101" s="74"/>
      <c r="M101" s="10"/>
      <c r="N101" s="80">
        <f t="shared" si="4"/>
        <v>2.8899999999999997</v>
      </c>
    </row>
    <row r="102" spans="1:14" x14ac:dyDescent="0.25">
      <c r="A102" s="2" t="s">
        <v>281</v>
      </c>
      <c r="B102" s="9" t="s">
        <v>328</v>
      </c>
      <c r="C102" s="10" t="s">
        <v>329</v>
      </c>
      <c r="D102" s="9" t="s">
        <v>330</v>
      </c>
      <c r="E102" s="11" t="s">
        <v>30</v>
      </c>
      <c r="F102" s="74">
        <v>20.55</v>
      </c>
      <c r="G102" s="74">
        <v>1.66</v>
      </c>
      <c r="H102" s="74" t="s">
        <v>559</v>
      </c>
      <c r="I102" s="74"/>
      <c r="J102" s="74"/>
      <c r="K102" s="74"/>
      <c r="L102" s="74"/>
      <c r="M102" s="10"/>
      <c r="N102" s="80">
        <f t="shared" si="4"/>
        <v>22.21</v>
      </c>
    </row>
    <row r="103" spans="1:14" x14ac:dyDescent="0.25">
      <c r="A103" s="2" t="s">
        <v>281</v>
      </c>
      <c r="B103" s="9" t="s">
        <v>331</v>
      </c>
      <c r="C103" s="10" t="s">
        <v>332</v>
      </c>
      <c r="D103" s="9" t="s">
        <v>333</v>
      </c>
      <c r="E103" s="11" t="s">
        <v>30</v>
      </c>
      <c r="F103" s="74">
        <v>0.86</v>
      </c>
      <c r="G103" s="74">
        <v>1.66</v>
      </c>
      <c r="H103" s="74" t="s">
        <v>559</v>
      </c>
      <c r="I103" s="74"/>
      <c r="J103" s="74"/>
      <c r="K103" s="74"/>
      <c r="L103" s="74"/>
      <c r="M103" s="10"/>
      <c r="N103" s="80">
        <f t="shared" si="4"/>
        <v>2.52</v>
      </c>
    </row>
    <row r="104" spans="1:14" x14ac:dyDescent="0.25">
      <c r="A104" s="2" t="s">
        <v>281</v>
      </c>
      <c r="B104" s="9" t="s">
        <v>334</v>
      </c>
      <c r="C104" s="10" t="s">
        <v>335</v>
      </c>
      <c r="D104" s="9" t="s">
        <v>336</v>
      </c>
      <c r="E104" s="11" t="s">
        <v>30</v>
      </c>
      <c r="F104" s="74">
        <v>3.38</v>
      </c>
      <c r="G104" s="74">
        <v>1.66</v>
      </c>
      <c r="H104" s="74"/>
      <c r="I104" s="74"/>
      <c r="J104" s="74"/>
      <c r="K104" s="74"/>
      <c r="L104" s="74"/>
      <c r="M104" s="10"/>
      <c r="N104" s="80">
        <f t="shared" si="4"/>
        <v>5.04</v>
      </c>
    </row>
    <row r="105" spans="1:14" x14ac:dyDescent="0.25">
      <c r="A105" s="2" t="s">
        <v>281</v>
      </c>
      <c r="B105" s="9" t="s">
        <v>337</v>
      </c>
      <c r="C105" s="10" t="s">
        <v>338</v>
      </c>
      <c r="D105" s="2" t="s">
        <v>339</v>
      </c>
      <c r="E105" s="11" t="s">
        <v>30</v>
      </c>
      <c r="F105" s="74">
        <v>5.14</v>
      </c>
      <c r="G105" s="74">
        <v>1.66</v>
      </c>
      <c r="H105" s="74" t="s">
        <v>559</v>
      </c>
      <c r="I105" s="74"/>
      <c r="J105" s="74"/>
      <c r="K105" s="74"/>
      <c r="L105" s="74"/>
      <c r="M105" s="10"/>
      <c r="N105" s="80">
        <f t="shared" si="4"/>
        <v>6.8</v>
      </c>
    </row>
    <row r="106" spans="1:14" x14ac:dyDescent="0.25">
      <c r="A106" s="2" t="s">
        <v>281</v>
      </c>
      <c r="B106" s="9" t="s">
        <v>340</v>
      </c>
      <c r="C106" s="10" t="s">
        <v>341</v>
      </c>
      <c r="D106" s="2" t="s">
        <v>342</v>
      </c>
      <c r="E106" s="11" t="s">
        <v>53</v>
      </c>
      <c r="F106" s="74">
        <v>1.1000000000000001</v>
      </c>
      <c r="G106" s="74">
        <v>1.66</v>
      </c>
      <c r="H106" s="74" t="s">
        <v>559</v>
      </c>
      <c r="I106" s="74"/>
      <c r="J106" s="74"/>
      <c r="K106" s="74"/>
      <c r="L106" s="74"/>
      <c r="M106" s="10"/>
      <c r="N106" s="80">
        <f t="shared" si="4"/>
        <v>2.76</v>
      </c>
    </row>
    <row r="107" spans="1:14" x14ac:dyDescent="0.25">
      <c r="A107" s="2" t="s">
        <v>281</v>
      </c>
      <c r="B107" s="9" t="s">
        <v>343</v>
      </c>
      <c r="C107" s="10" t="s">
        <v>344</v>
      </c>
      <c r="D107" s="2" t="s">
        <v>345</v>
      </c>
      <c r="E107" s="11" t="s">
        <v>285</v>
      </c>
      <c r="F107" s="74">
        <v>0.68</v>
      </c>
      <c r="G107" s="74">
        <v>0.25</v>
      </c>
      <c r="H107" s="74"/>
      <c r="I107" s="74"/>
      <c r="J107" s="74"/>
      <c r="K107" s="74"/>
      <c r="L107" s="74"/>
      <c r="M107" s="10"/>
      <c r="N107" s="80">
        <f t="shared" si="4"/>
        <v>0.93</v>
      </c>
    </row>
    <row r="108" spans="1:14" x14ac:dyDescent="0.25">
      <c r="A108" s="2" t="s">
        <v>347</v>
      </c>
      <c r="B108" s="9" t="s">
        <v>348</v>
      </c>
      <c r="C108" s="2" t="s">
        <v>349</v>
      </c>
      <c r="D108" s="49" t="s">
        <v>350</v>
      </c>
      <c r="E108" s="2" t="s">
        <v>77</v>
      </c>
      <c r="F108" s="77" t="s">
        <v>564</v>
      </c>
      <c r="G108" s="77"/>
      <c r="H108" s="77"/>
      <c r="I108" s="77"/>
      <c r="J108" s="74"/>
      <c r="K108" s="74"/>
      <c r="L108" s="74"/>
      <c r="M108" s="10"/>
      <c r="N108" s="80" t="e">
        <f t="shared" si="4"/>
        <v>#VALUE!</v>
      </c>
    </row>
  </sheetData>
  <autoFilter ref="A2:N108" xr:uid="{FFAE0EA5-672F-469C-8A82-B7F63B8C687A}">
    <filterColumn colId="6">
      <filters blank="1">
        <filter val="0,17"/>
        <filter val="0,23"/>
        <filter val="0,25"/>
        <filter val="0,26"/>
        <filter val="0,27"/>
        <filter val="0,28"/>
        <filter val="0,29"/>
        <filter val="0,3"/>
        <filter val="0,5"/>
        <filter val="1,3"/>
        <filter val="1,66"/>
      </filters>
    </filterColumn>
  </autoFilter>
  <conditionalFormatting sqref="B2:B8">
    <cfRule type="duplicateValues" dxfId="3" priority="3"/>
  </conditionalFormatting>
  <conditionalFormatting sqref="B22:B3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DA5B-67FD-4E87-85EE-38E2E65AD78C}">
  <dimension ref="A1:AE125"/>
  <sheetViews>
    <sheetView topLeftCell="C2" workbookViewId="0">
      <selection activeCell="AB7" sqref="AB7"/>
    </sheetView>
  </sheetViews>
  <sheetFormatPr defaultRowHeight="15" x14ac:dyDescent="0.25"/>
  <cols>
    <col min="2" max="2" width="67.140625" bestFit="1" customWidth="1"/>
    <col min="3" max="3" width="8.7109375" bestFit="1" customWidth="1"/>
  </cols>
  <sheetData>
    <row r="1" spans="1:31" ht="150" x14ac:dyDescent="0.25">
      <c r="A1" s="1" t="s">
        <v>1</v>
      </c>
      <c r="B1" s="3" t="s">
        <v>202</v>
      </c>
      <c r="C1" s="3" t="s">
        <v>367</v>
      </c>
      <c r="D1" s="3" t="s">
        <v>368</v>
      </c>
      <c r="E1" s="58" t="s">
        <v>369</v>
      </c>
      <c r="F1" s="3" t="s">
        <v>370</v>
      </c>
      <c r="G1" s="3" t="s">
        <v>371</v>
      </c>
      <c r="H1" s="59" t="s">
        <v>372</v>
      </c>
      <c r="I1" s="59" t="s">
        <v>373</v>
      </c>
      <c r="J1" s="3" t="s">
        <v>374</v>
      </c>
      <c r="K1" s="3" t="s">
        <v>375</v>
      </c>
      <c r="L1" s="58" t="s">
        <v>376</v>
      </c>
      <c r="M1" s="58" t="s">
        <v>377</v>
      </c>
      <c r="N1" s="60" t="s">
        <v>378</v>
      </c>
      <c r="O1" s="58" t="s">
        <v>379</v>
      </c>
      <c r="P1" s="61" t="s">
        <v>380</v>
      </c>
      <c r="Q1" s="58" t="s">
        <v>14</v>
      </c>
      <c r="R1" s="58" t="s">
        <v>381</v>
      </c>
      <c r="S1" s="58" t="s">
        <v>382</v>
      </c>
      <c r="T1" s="58" t="s">
        <v>383</v>
      </c>
      <c r="U1" s="58" t="s">
        <v>384</v>
      </c>
      <c r="V1" s="58" t="s">
        <v>385</v>
      </c>
      <c r="W1" s="3" t="s">
        <v>0</v>
      </c>
      <c r="X1" s="8"/>
      <c r="Y1" s="62" t="s">
        <v>386</v>
      </c>
      <c r="Z1" s="7" t="s">
        <v>387</v>
      </c>
      <c r="AA1" s="7" t="s">
        <v>388</v>
      </c>
      <c r="AB1" s="7" t="s">
        <v>389</v>
      </c>
      <c r="AC1" s="7" t="s">
        <v>390</v>
      </c>
    </row>
    <row r="2" spans="1:31" ht="105" x14ac:dyDescent="0.25">
      <c r="A2" s="63" t="s">
        <v>391</v>
      </c>
      <c r="B2" s="8" t="s">
        <v>392</v>
      </c>
      <c r="C2" s="8"/>
      <c r="D2" s="8" t="s">
        <v>393</v>
      </c>
      <c r="E2" s="8" t="s">
        <v>394</v>
      </c>
      <c r="F2" s="64" t="s">
        <v>395</v>
      </c>
      <c r="G2" s="8"/>
      <c r="H2" s="38">
        <v>1</v>
      </c>
      <c r="I2" s="8" t="s">
        <v>396</v>
      </c>
      <c r="J2" s="8" t="s">
        <v>397</v>
      </c>
      <c r="K2" s="8"/>
      <c r="L2" s="8"/>
      <c r="M2" s="8"/>
      <c r="N2" s="65"/>
      <c r="O2" s="8"/>
      <c r="P2" s="63" t="s">
        <v>398</v>
      </c>
      <c r="Q2" s="14" t="s">
        <v>399</v>
      </c>
      <c r="R2" s="8" t="s">
        <v>400</v>
      </c>
      <c r="S2" s="8"/>
      <c r="T2" s="8"/>
      <c r="U2" s="8"/>
      <c r="V2" s="8"/>
      <c r="W2" s="8" t="s">
        <v>401</v>
      </c>
      <c r="X2" s="8"/>
      <c r="Y2" s="66" t="s">
        <v>402</v>
      </c>
      <c r="Z2">
        <v>1.62</v>
      </c>
      <c r="AA2" s="67" t="s">
        <v>18</v>
      </c>
      <c r="AB2" s="67">
        <v>60</v>
      </c>
      <c r="AC2" s="67">
        <f>6000/(AB2+5)</f>
        <v>92.307692307692307</v>
      </c>
      <c r="AD2" s="34" t="str">
        <f>+A2</f>
        <v>010608</v>
      </c>
      <c r="AE2">
        <f>+Z2</f>
        <v>1.62</v>
      </c>
    </row>
    <row r="3" spans="1:31" x14ac:dyDescent="0.25">
      <c r="A3" s="63" t="s">
        <v>403</v>
      </c>
      <c r="B3" s="8" t="s">
        <v>404</v>
      </c>
      <c r="C3" s="8"/>
      <c r="D3" s="8" t="s">
        <v>393</v>
      </c>
      <c r="E3" s="8" t="s">
        <v>394</v>
      </c>
      <c r="F3" s="4" t="s">
        <v>405</v>
      </c>
      <c r="G3" s="8">
        <v>5770</v>
      </c>
      <c r="H3" s="8">
        <v>2</v>
      </c>
      <c r="I3" s="8" t="s">
        <v>396</v>
      </c>
      <c r="J3" s="8" t="s">
        <v>406</v>
      </c>
      <c r="K3" s="8" t="s">
        <v>407</v>
      </c>
      <c r="L3" s="8"/>
      <c r="M3" s="8"/>
      <c r="N3" s="65" t="s">
        <v>408</v>
      </c>
      <c r="O3" s="8"/>
      <c r="P3" s="63" t="s">
        <v>398</v>
      </c>
      <c r="Q3" s="14" t="s">
        <v>399</v>
      </c>
      <c r="R3" s="8" t="s">
        <v>400</v>
      </c>
      <c r="S3" s="8"/>
      <c r="T3" s="8"/>
      <c r="U3" s="8"/>
      <c r="V3" s="8"/>
      <c r="W3" s="8" t="s">
        <v>401</v>
      </c>
      <c r="X3" s="8"/>
      <c r="Y3" s="68" t="s">
        <v>409</v>
      </c>
      <c r="Z3">
        <v>2.3769999999999998</v>
      </c>
      <c r="AD3" s="34" t="str">
        <f t="shared" ref="AD3:AD66" si="0">+A3</f>
        <v>010609</v>
      </c>
      <c r="AE3">
        <f t="shared" ref="AE3:AE66" si="1">+Z3</f>
        <v>2.3769999999999998</v>
      </c>
    </row>
    <row r="4" spans="1:31" x14ac:dyDescent="0.25">
      <c r="A4" s="63" t="s">
        <v>410</v>
      </c>
      <c r="B4" s="8" t="s">
        <v>411</v>
      </c>
      <c r="C4" s="8"/>
      <c r="D4" s="8" t="s">
        <v>393</v>
      </c>
      <c r="E4" s="8" t="s">
        <v>394</v>
      </c>
      <c r="F4" s="4" t="s">
        <v>405</v>
      </c>
      <c r="G4" s="8">
        <v>5770</v>
      </c>
      <c r="H4" s="8">
        <v>2</v>
      </c>
      <c r="I4" s="8" t="s">
        <v>396</v>
      </c>
      <c r="J4" s="8" t="s">
        <v>406</v>
      </c>
      <c r="K4" s="8" t="s">
        <v>407</v>
      </c>
      <c r="L4" s="8"/>
      <c r="M4" s="8"/>
      <c r="N4" s="65" t="s">
        <v>408</v>
      </c>
      <c r="O4" s="8"/>
      <c r="P4" s="63" t="s">
        <v>398</v>
      </c>
      <c r="Q4" s="14" t="s">
        <v>399</v>
      </c>
      <c r="R4" s="8" t="s">
        <v>400</v>
      </c>
      <c r="S4" s="8"/>
      <c r="T4" s="8"/>
      <c r="U4" s="8"/>
      <c r="V4" s="8"/>
      <c r="W4" s="8" t="s">
        <v>401</v>
      </c>
      <c r="X4" s="8"/>
      <c r="Z4">
        <v>1.722</v>
      </c>
      <c r="AD4" s="34" t="str">
        <f t="shared" si="0"/>
        <v>010611</v>
      </c>
      <c r="AE4">
        <f t="shared" si="1"/>
        <v>1.722</v>
      </c>
    </row>
    <row r="5" spans="1:31" ht="45" x14ac:dyDescent="0.25">
      <c r="A5" s="63" t="s">
        <v>412</v>
      </c>
      <c r="B5" s="8" t="s">
        <v>413</v>
      </c>
      <c r="C5" s="8"/>
      <c r="D5" s="8" t="s">
        <v>393</v>
      </c>
      <c r="E5" s="8" t="s">
        <v>394</v>
      </c>
      <c r="F5" s="4" t="s">
        <v>414</v>
      </c>
      <c r="G5" s="8">
        <v>6000</v>
      </c>
      <c r="H5" s="8">
        <v>1</v>
      </c>
      <c r="I5" s="8" t="s">
        <v>396</v>
      </c>
      <c r="J5" s="8" t="s">
        <v>406</v>
      </c>
      <c r="K5" s="8" t="s">
        <v>415</v>
      </c>
      <c r="L5" s="8"/>
      <c r="M5" s="8"/>
      <c r="N5" s="65" t="s">
        <v>416</v>
      </c>
      <c r="O5" s="8"/>
      <c r="P5" s="63" t="s">
        <v>398</v>
      </c>
      <c r="Q5" s="14" t="s">
        <v>417</v>
      </c>
      <c r="R5" s="8" t="s">
        <v>400</v>
      </c>
      <c r="S5" s="8"/>
      <c r="T5" s="8"/>
      <c r="U5" s="8"/>
      <c r="V5" s="8"/>
      <c r="W5" s="8" t="s">
        <v>401</v>
      </c>
      <c r="X5" s="8"/>
      <c r="Z5">
        <v>0.72499999999999998</v>
      </c>
      <c r="AD5" s="34" t="str">
        <f t="shared" si="0"/>
        <v>010616</v>
      </c>
      <c r="AE5">
        <f t="shared" si="1"/>
        <v>0.72499999999999998</v>
      </c>
    </row>
    <row r="6" spans="1:31" ht="105" x14ac:dyDescent="0.25">
      <c r="A6" s="63" t="s">
        <v>418</v>
      </c>
      <c r="B6" s="8" t="s">
        <v>419</v>
      </c>
      <c r="C6" s="8"/>
      <c r="D6" s="8" t="s">
        <v>393</v>
      </c>
      <c r="E6" s="8" t="s">
        <v>394</v>
      </c>
      <c r="F6" s="4" t="s">
        <v>420</v>
      </c>
      <c r="G6" s="8">
        <v>50</v>
      </c>
      <c r="H6" s="8">
        <v>16</v>
      </c>
      <c r="I6" s="8" t="s">
        <v>396</v>
      </c>
      <c r="J6" s="8" t="s">
        <v>406</v>
      </c>
      <c r="K6" s="8"/>
      <c r="L6" s="8"/>
      <c r="M6" s="8"/>
      <c r="N6" s="65"/>
      <c r="O6" s="8"/>
      <c r="P6" s="63" t="s">
        <v>398</v>
      </c>
      <c r="Q6" s="14" t="s">
        <v>399</v>
      </c>
      <c r="R6" s="8" t="s">
        <v>400</v>
      </c>
      <c r="S6" s="8"/>
      <c r="T6" s="8"/>
      <c r="U6" s="8"/>
      <c r="V6" s="8"/>
      <c r="W6" s="8" t="s">
        <v>401</v>
      </c>
      <c r="X6" s="8"/>
      <c r="Z6">
        <v>0.9</v>
      </c>
      <c r="AA6" s="67" t="s">
        <v>39</v>
      </c>
      <c r="AB6" s="67">
        <v>45</v>
      </c>
      <c r="AC6" s="67">
        <v>120</v>
      </c>
      <c r="AD6" s="34" t="str">
        <f t="shared" si="0"/>
        <v>010617</v>
      </c>
      <c r="AE6">
        <f t="shared" si="1"/>
        <v>0.9</v>
      </c>
    </row>
    <row r="7" spans="1:31" ht="189" x14ac:dyDescent="0.25">
      <c r="A7" s="63" t="s">
        <v>421</v>
      </c>
      <c r="B7" s="8" t="s">
        <v>422</v>
      </c>
      <c r="C7" s="8"/>
      <c r="D7" s="8" t="s">
        <v>393</v>
      </c>
      <c r="E7" s="8" t="s">
        <v>394</v>
      </c>
      <c r="F7" s="69" t="s">
        <v>423</v>
      </c>
      <c r="G7" s="4" t="s">
        <v>424</v>
      </c>
      <c r="H7" s="8">
        <v>1</v>
      </c>
      <c r="I7" s="8" t="s">
        <v>396</v>
      </c>
      <c r="J7" s="8" t="s">
        <v>406</v>
      </c>
      <c r="K7" s="8" t="s">
        <v>407</v>
      </c>
      <c r="L7" s="8"/>
      <c r="M7" s="8"/>
      <c r="N7" s="65" t="s">
        <v>425</v>
      </c>
      <c r="O7" s="8"/>
      <c r="P7" s="63" t="s">
        <v>398</v>
      </c>
      <c r="Q7" s="14" t="s">
        <v>399</v>
      </c>
      <c r="R7" s="8" t="s">
        <v>400</v>
      </c>
      <c r="S7" s="8"/>
      <c r="T7" s="8"/>
      <c r="U7" s="8"/>
      <c r="V7" s="8"/>
      <c r="W7" s="8" t="s">
        <v>401</v>
      </c>
      <c r="X7" s="8"/>
      <c r="Z7">
        <v>1.7909999999999999</v>
      </c>
      <c r="AD7" s="34" t="str">
        <f t="shared" si="0"/>
        <v>010618</v>
      </c>
      <c r="AE7">
        <f t="shared" si="1"/>
        <v>1.7909999999999999</v>
      </c>
    </row>
    <row r="8" spans="1:31" ht="90" x14ac:dyDescent="0.25">
      <c r="A8" s="63" t="s">
        <v>426</v>
      </c>
      <c r="B8" s="8" t="s">
        <v>427</v>
      </c>
      <c r="C8" s="8"/>
      <c r="D8" s="8" t="s">
        <v>393</v>
      </c>
      <c r="E8" s="8" t="s">
        <v>394</v>
      </c>
      <c r="F8" s="4" t="s">
        <v>428</v>
      </c>
      <c r="G8" s="8">
        <v>50</v>
      </c>
      <c r="H8" s="8">
        <v>4</v>
      </c>
      <c r="I8" s="8" t="s">
        <v>396</v>
      </c>
      <c r="J8" s="8" t="s">
        <v>397</v>
      </c>
      <c r="K8" s="8"/>
      <c r="L8" s="8"/>
      <c r="M8" s="8"/>
      <c r="N8" s="35"/>
      <c r="O8" s="8"/>
      <c r="P8" s="63" t="s">
        <v>398</v>
      </c>
      <c r="Q8" s="14" t="s">
        <v>399</v>
      </c>
      <c r="R8" s="8" t="s">
        <v>400</v>
      </c>
      <c r="S8" s="8"/>
      <c r="T8" s="8"/>
      <c r="U8" s="8"/>
      <c r="V8" s="8"/>
      <c r="W8" s="8" t="s">
        <v>401</v>
      </c>
      <c r="X8" s="8"/>
      <c r="Z8">
        <v>0.89100000000000001</v>
      </c>
      <c r="AA8" s="67" t="s">
        <v>45</v>
      </c>
      <c r="AB8" s="67">
        <v>32</v>
      </c>
      <c r="AC8" s="67">
        <f>6000/(AB8+5)</f>
        <v>162.16216216216216</v>
      </c>
      <c r="AD8" s="34" t="str">
        <f t="shared" si="0"/>
        <v>010619</v>
      </c>
      <c r="AE8">
        <f t="shared" si="1"/>
        <v>0.89100000000000001</v>
      </c>
    </row>
    <row r="9" spans="1:31" x14ac:dyDescent="0.25">
      <c r="A9" s="63" t="s">
        <v>429</v>
      </c>
      <c r="B9" s="8" t="s">
        <v>430</v>
      </c>
      <c r="C9" s="8"/>
      <c r="D9" s="8" t="s">
        <v>393</v>
      </c>
      <c r="E9" s="8" t="s">
        <v>394</v>
      </c>
      <c r="F9" s="4" t="s">
        <v>405</v>
      </c>
      <c r="G9" s="8">
        <v>5910</v>
      </c>
      <c r="H9" s="8">
        <v>1</v>
      </c>
      <c r="I9" s="8" t="s">
        <v>396</v>
      </c>
      <c r="J9" s="8" t="s">
        <v>406</v>
      </c>
      <c r="K9" s="8" t="s">
        <v>407</v>
      </c>
      <c r="L9" s="8"/>
      <c r="M9" s="8"/>
      <c r="N9" s="65"/>
      <c r="O9" s="8"/>
      <c r="P9" s="63" t="s">
        <v>398</v>
      </c>
      <c r="Q9" s="14" t="s">
        <v>399</v>
      </c>
      <c r="R9" s="8" t="s">
        <v>400</v>
      </c>
      <c r="S9" s="8"/>
      <c r="T9" s="8"/>
      <c r="U9" s="8"/>
      <c r="V9" s="8"/>
      <c r="W9" s="8" t="s">
        <v>401</v>
      </c>
      <c r="X9" s="8"/>
      <c r="Z9">
        <v>4.91</v>
      </c>
      <c r="AD9" s="34" t="str">
        <f t="shared" si="0"/>
        <v>010627</v>
      </c>
      <c r="AE9">
        <f t="shared" si="1"/>
        <v>4.91</v>
      </c>
    </row>
    <row r="10" spans="1:31" x14ac:dyDescent="0.25">
      <c r="A10" s="63" t="s">
        <v>431</v>
      </c>
      <c r="B10" s="8" t="s">
        <v>432</v>
      </c>
      <c r="C10" s="8"/>
      <c r="D10" s="8" t="s">
        <v>393</v>
      </c>
      <c r="E10" s="8" t="s">
        <v>394</v>
      </c>
      <c r="F10" s="4" t="s">
        <v>405</v>
      </c>
      <c r="G10" s="8">
        <v>5910</v>
      </c>
      <c r="H10" s="8">
        <v>1</v>
      </c>
      <c r="I10" s="8" t="s">
        <v>396</v>
      </c>
      <c r="J10" s="8" t="s">
        <v>406</v>
      </c>
      <c r="K10" s="8" t="s">
        <v>407</v>
      </c>
      <c r="L10" s="8"/>
      <c r="M10" s="8"/>
      <c r="N10" s="65"/>
      <c r="O10" s="8"/>
      <c r="P10" s="63" t="s">
        <v>398</v>
      </c>
      <c r="Q10" s="14" t="s">
        <v>399</v>
      </c>
      <c r="R10" s="8" t="s">
        <v>400</v>
      </c>
      <c r="S10" s="8"/>
      <c r="T10" s="8"/>
      <c r="U10" s="8"/>
      <c r="V10" s="8"/>
      <c r="W10" s="8" t="s">
        <v>401</v>
      </c>
      <c r="X10" s="8"/>
      <c r="Z10">
        <v>0.47199999999999998</v>
      </c>
      <c r="AD10" s="34" t="str">
        <f t="shared" si="0"/>
        <v>010628</v>
      </c>
      <c r="AE10">
        <f t="shared" si="1"/>
        <v>0.47199999999999998</v>
      </c>
    </row>
    <row r="11" spans="1:31" ht="90" x14ac:dyDescent="0.25">
      <c r="A11" s="63" t="s">
        <v>433</v>
      </c>
      <c r="B11" s="8" t="s">
        <v>434</v>
      </c>
      <c r="C11" s="8"/>
      <c r="D11" s="8" t="s">
        <v>393</v>
      </c>
      <c r="E11" s="8" t="s">
        <v>394</v>
      </c>
      <c r="F11" s="4" t="s">
        <v>435</v>
      </c>
      <c r="G11" s="8">
        <v>100</v>
      </c>
      <c r="H11" s="8">
        <v>4</v>
      </c>
      <c r="I11" s="8" t="s">
        <v>396</v>
      </c>
      <c r="J11" s="8" t="s">
        <v>397</v>
      </c>
      <c r="K11" s="8"/>
      <c r="L11" s="8"/>
      <c r="M11" s="8"/>
      <c r="N11" s="35"/>
      <c r="O11" s="8"/>
      <c r="P11" s="63" t="s">
        <v>436</v>
      </c>
      <c r="Q11" s="14" t="s">
        <v>399</v>
      </c>
      <c r="R11" s="8" t="s">
        <v>400</v>
      </c>
      <c r="S11" s="8"/>
      <c r="T11" s="8"/>
      <c r="U11" s="8"/>
      <c r="V11" s="8"/>
      <c r="W11" s="8" t="s">
        <v>401</v>
      </c>
      <c r="X11" s="8"/>
      <c r="Z11">
        <v>1.145</v>
      </c>
      <c r="AA11" s="67" t="s">
        <v>37</v>
      </c>
      <c r="AB11" s="67">
        <v>90</v>
      </c>
      <c r="AC11" s="67">
        <f>6000/(AB11+5)</f>
        <v>63.157894736842103</v>
      </c>
      <c r="AD11" s="34" t="str">
        <f t="shared" si="0"/>
        <v>010629</v>
      </c>
      <c r="AE11">
        <f t="shared" si="1"/>
        <v>1.145</v>
      </c>
    </row>
    <row r="12" spans="1:31" ht="60" x14ac:dyDescent="0.25">
      <c r="A12" s="63" t="s">
        <v>437</v>
      </c>
      <c r="B12" s="8" t="s">
        <v>438</v>
      </c>
      <c r="C12" s="8"/>
      <c r="D12" s="8" t="s">
        <v>393</v>
      </c>
      <c r="E12" s="8" t="s">
        <v>394</v>
      </c>
      <c r="F12" s="4" t="s">
        <v>439</v>
      </c>
      <c r="G12" s="8">
        <v>5830</v>
      </c>
      <c r="H12" s="8">
        <v>1</v>
      </c>
      <c r="I12" s="8" t="s">
        <v>396</v>
      </c>
      <c r="J12" s="8" t="s">
        <v>397</v>
      </c>
      <c r="K12" s="8" t="s">
        <v>407</v>
      </c>
      <c r="L12" s="8"/>
      <c r="M12" s="8"/>
      <c r="N12" s="65" t="s">
        <v>440</v>
      </c>
      <c r="O12" s="8"/>
      <c r="P12" s="63" t="s">
        <v>398</v>
      </c>
      <c r="Q12" s="14" t="s">
        <v>399</v>
      </c>
      <c r="R12" s="8" t="s">
        <v>400</v>
      </c>
      <c r="S12" s="8"/>
      <c r="T12" s="8"/>
      <c r="U12" s="8"/>
      <c r="V12" s="8"/>
      <c r="W12" s="8" t="s">
        <v>401</v>
      </c>
      <c r="X12" s="8"/>
      <c r="Z12">
        <v>0.34399999999999997</v>
      </c>
      <c r="AD12" s="34" t="str">
        <f t="shared" si="0"/>
        <v>010630</v>
      </c>
      <c r="AE12">
        <f t="shared" si="1"/>
        <v>0.34399999999999997</v>
      </c>
    </row>
    <row r="13" spans="1:31" x14ac:dyDescent="0.25">
      <c r="A13" s="63" t="s">
        <v>441</v>
      </c>
      <c r="B13" s="8" t="s">
        <v>442</v>
      </c>
      <c r="C13" s="8"/>
      <c r="D13" s="8" t="s">
        <v>393</v>
      </c>
      <c r="E13" s="8" t="s">
        <v>394</v>
      </c>
      <c r="F13" s="4" t="s">
        <v>405</v>
      </c>
      <c r="G13" s="8">
        <v>5870</v>
      </c>
      <c r="H13" s="8">
        <v>1</v>
      </c>
      <c r="I13" s="8" t="s">
        <v>396</v>
      </c>
      <c r="J13" s="8" t="s">
        <v>406</v>
      </c>
      <c r="K13" s="8" t="s">
        <v>407</v>
      </c>
      <c r="L13" s="8"/>
      <c r="M13" s="8"/>
      <c r="N13" s="65"/>
      <c r="O13" s="8"/>
      <c r="P13" s="63" t="s">
        <v>398</v>
      </c>
      <c r="Q13" s="14" t="s">
        <v>399</v>
      </c>
      <c r="R13" s="8" t="s">
        <v>400</v>
      </c>
      <c r="S13" s="8"/>
      <c r="T13" s="8"/>
      <c r="U13" s="8"/>
      <c r="V13" s="8"/>
      <c r="W13" s="8" t="s">
        <v>401</v>
      </c>
      <c r="X13" s="8"/>
      <c r="Z13">
        <v>0.38600000000000001</v>
      </c>
      <c r="AD13" s="34" t="str">
        <f t="shared" si="0"/>
        <v>010631</v>
      </c>
      <c r="AE13">
        <f t="shared" si="1"/>
        <v>0.38600000000000001</v>
      </c>
    </row>
    <row r="14" spans="1:31" ht="45" x14ac:dyDescent="0.25">
      <c r="A14" s="63" t="s">
        <v>443</v>
      </c>
      <c r="B14" s="8" t="s">
        <v>444</v>
      </c>
      <c r="C14" s="8"/>
      <c r="D14" s="8" t="s">
        <v>393</v>
      </c>
      <c r="E14" s="8" t="s">
        <v>394</v>
      </c>
      <c r="F14" s="4" t="s">
        <v>414</v>
      </c>
      <c r="G14" s="8">
        <v>5800</v>
      </c>
      <c r="H14" s="8">
        <v>1</v>
      </c>
      <c r="I14" s="8" t="s">
        <v>396</v>
      </c>
      <c r="J14" s="8" t="s">
        <v>406</v>
      </c>
      <c r="K14" s="8" t="s">
        <v>407</v>
      </c>
      <c r="L14" s="8"/>
      <c r="M14" s="8"/>
      <c r="N14" s="65"/>
      <c r="O14" s="8"/>
      <c r="P14" s="63" t="s">
        <v>398</v>
      </c>
      <c r="Q14" s="14" t="s">
        <v>399</v>
      </c>
      <c r="R14" s="8" t="s">
        <v>400</v>
      </c>
      <c r="S14" s="8"/>
      <c r="T14" s="8"/>
      <c r="U14" s="8"/>
      <c r="V14" s="8"/>
      <c r="W14" s="8" t="s">
        <v>401</v>
      </c>
      <c r="X14" s="8"/>
      <c r="Z14">
        <v>1.3859999999999999</v>
      </c>
      <c r="AD14" s="34" t="str">
        <f t="shared" si="0"/>
        <v>010633</v>
      </c>
      <c r="AE14">
        <f t="shared" si="1"/>
        <v>1.3859999999999999</v>
      </c>
    </row>
    <row r="15" spans="1:31" x14ac:dyDescent="0.25">
      <c r="A15" s="63" t="s">
        <v>445</v>
      </c>
      <c r="B15" s="8" t="s">
        <v>446</v>
      </c>
      <c r="C15" s="8"/>
      <c r="D15" s="8" t="s">
        <v>393</v>
      </c>
      <c r="E15" s="8" t="s">
        <v>394</v>
      </c>
      <c r="F15" s="4" t="s">
        <v>405</v>
      </c>
      <c r="G15" s="8">
        <v>5830</v>
      </c>
      <c r="H15" s="8">
        <v>1</v>
      </c>
      <c r="I15" s="8" t="s">
        <v>396</v>
      </c>
      <c r="J15" s="8" t="s">
        <v>406</v>
      </c>
      <c r="K15" s="8" t="s">
        <v>407</v>
      </c>
      <c r="L15" s="8"/>
      <c r="M15" s="8"/>
      <c r="N15" s="65"/>
      <c r="O15" s="8"/>
      <c r="P15" s="63" t="s">
        <v>398</v>
      </c>
      <c r="Q15" s="14" t="s">
        <v>399</v>
      </c>
      <c r="R15" s="8" t="s">
        <v>400</v>
      </c>
      <c r="S15" s="8"/>
      <c r="T15" s="8"/>
      <c r="U15" s="8"/>
      <c r="V15" s="8"/>
      <c r="W15" s="8" t="s">
        <v>401</v>
      </c>
      <c r="X15" s="8"/>
      <c r="Z15">
        <v>3.0550000000000002</v>
      </c>
      <c r="AD15" s="34" t="str">
        <f t="shared" si="0"/>
        <v>010634</v>
      </c>
      <c r="AE15">
        <f t="shared" si="1"/>
        <v>3.0550000000000002</v>
      </c>
    </row>
    <row r="16" spans="1:31" ht="30" x14ac:dyDescent="0.25">
      <c r="A16" s="63" t="s">
        <v>447</v>
      </c>
      <c r="B16" s="8" t="s">
        <v>448</v>
      </c>
      <c r="C16" s="8"/>
      <c r="D16" s="8" t="s">
        <v>393</v>
      </c>
      <c r="E16" s="8" t="s">
        <v>394</v>
      </c>
      <c r="F16" s="4" t="s">
        <v>449</v>
      </c>
      <c r="G16" s="8">
        <v>5770</v>
      </c>
      <c r="H16" s="8">
        <v>1</v>
      </c>
      <c r="I16" s="8" t="s">
        <v>396</v>
      </c>
      <c r="J16" s="8" t="s">
        <v>397</v>
      </c>
      <c r="K16" s="8" t="s">
        <v>407</v>
      </c>
      <c r="L16" s="8"/>
      <c r="M16" s="8"/>
      <c r="N16" s="65"/>
      <c r="O16" s="8"/>
      <c r="P16" s="63" t="s">
        <v>398</v>
      </c>
      <c r="Q16" s="14" t="s">
        <v>450</v>
      </c>
      <c r="R16" s="8" t="s">
        <v>400</v>
      </c>
      <c r="S16" s="8"/>
      <c r="T16" s="8"/>
      <c r="U16" s="8"/>
      <c r="V16" s="8"/>
      <c r="W16" s="8" t="s">
        <v>401</v>
      </c>
      <c r="X16" s="8"/>
      <c r="Z16">
        <v>0.156</v>
      </c>
      <c r="AD16" s="34" t="str">
        <f t="shared" si="0"/>
        <v>010635</v>
      </c>
      <c r="AE16">
        <f t="shared" si="1"/>
        <v>0.156</v>
      </c>
    </row>
    <row r="17" spans="1:31" ht="45" x14ac:dyDescent="0.25">
      <c r="A17" s="63" t="s">
        <v>451</v>
      </c>
      <c r="B17" s="8" t="s">
        <v>452</v>
      </c>
      <c r="C17" s="8"/>
      <c r="D17" s="8" t="s">
        <v>393</v>
      </c>
      <c r="E17" s="8" t="s">
        <v>394</v>
      </c>
      <c r="F17" s="4" t="s">
        <v>414</v>
      </c>
      <c r="G17" s="8">
        <v>5800</v>
      </c>
      <c r="H17" s="8">
        <v>1</v>
      </c>
      <c r="I17" s="8" t="s">
        <v>396</v>
      </c>
      <c r="J17" s="8" t="s">
        <v>406</v>
      </c>
      <c r="K17" s="8" t="s">
        <v>407</v>
      </c>
      <c r="L17" s="8"/>
      <c r="M17" s="8"/>
      <c r="N17" s="65"/>
      <c r="O17" s="8"/>
      <c r="P17" s="63" t="s">
        <v>398</v>
      </c>
      <c r="Q17" s="14" t="s">
        <v>399</v>
      </c>
      <c r="R17" s="8" t="s">
        <v>400</v>
      </c>
      <c r="S17" s="8"/>
      <c r="T17" s="8"/>
      <c r="U17" s="8"/>
      <c r="V17" s="8"/>
      <c r="W17" s="8" t="s">
        <v>401</v>
      </c>
      <c r="X17" s="8"/>
      <c r="Z17">
        <v>1.3420000000000001</v>
      </c>
      <c r="AD17" s="34" t="str">
        <f t="shared" si="0"/>
        <v>010636</v>
      </c>
      <c r="AE17">
        <f t="shared" si="1"/>
        <v>1.3420000000000001</v>
      </c>
    </row>
    <row r="18" spans="1:31" ht="90" x14ac:dyDescent="0.25">
      <c r="A18" s="63" t="s">
        <v>453</v>
      </c>
      <c r="B18" s="8" t="s">
        <v>454</v>
      </c>
      <c r="C18" s="8"/>
      <c r="D18" s="8" t="s">
        <v>393</v>
      </c>
      <c r="E18" s="8" t="s">
        <v>394</v>
      </c>
      <c r="F18" s="4" t="s">
        <v>455</v>
      </c>
      <c r="G18" s="8">
        <v>100</v>
      </c>
      <c r="H18" s="8">
        <v>4</v>
      </c>
      <c r="I18" s="8" t="s">
        <v>396</v>
      </c>
      <c r="J18" s="8" t="s">
        <v>397</v>
      </c>
      <c r="K18" s="8"/>
      <c r="L18" s="8"/>
      <c r="M18" s="8"/>
      <c r="N18" s="35"/>
      <c r="O18" s="8"/>
      <c r="P18" s="63" t="s">
        <v>398</v>
      </c>
      <c r="Q18" s="14" t="s">
        <v>399</v>
      </c>
      <c r="R18" s="8" t="s">
        <v>400</v>
      </c>
      <c r="S18" s="8"/>
      <c r="T18" s="8"/>
      <c r="U18" s="8"/>
      <c r="V18" s="8"/>
      <c r="W18" s="8" t="s">
        <v>401</v>
      </c>
      <c r="X18" s="8"/>
      <c r="Z18">
        <v>0.55900000000000005</v>
      </c>
      <c r="AA18" s="67" t="s">
        <v>43</v>
      </c>
      <c r="AB18" s="67">
        <v>90</v>
      </c>
      <c r="AC18" s="67">
        <f>6000/(AB18+5)</f>
        <v>63.157894736842103</v>
      </c>
      <c r="AD18" s="34" t="str">
        <f t="shared" si="0"/>
        <v>010637</v>
      </c>
      <c r="AE18">
        <f t="shared" si="1"/>
        <v>0.55900000000000005</v>
      </c>
    </row>
    <row r="19" spans="1:31" x14ac:dyDescent="0.25">
      <c r="A19" s="63" t="s">
        <v>456</v>
      </c>
      <c r="B19" s="8" t="s">
        <v>457</v>
      </c>
      <c r="C19" s="8"/>
      <c r="D19" s="8" t="s">
        <v>393</v>
      </c>
      <c r="E19" s="8" t="s">
        <v>394</v>
      </c>
      <c r="F19" s="4" t="s">
        <v>405</v>
      </c>
      <c r="G19" s="8">
        <v>5910</v>
      </c>
      <c r="H19" s="8">
        <v>1</v>
      </c>
      <c r="I19" s="8" t="s">
        <v>396</v>
      </c>
      <c r="J19" s="8" t="s">
        <v>406</v>
      </c>
      <c r="K19" s="8" t="s">
        <v>407</v>
      </c>
      <c r="L19" s="8"/>
      <c r="M19" s="8"/>
      <c r="N19" s="65"/>
      <c r="O19" s="8"/>
      <c r="P19" s="63" t="s">
        <v>398</v>
      </c>
      <c r="Q19" s="14" t="s">
        <v>399</v>
      </c>
      <c r="R19" s="8" t="s">
        <v>400</v>
      </c>
      <c r="S19" s="8"/>
      <c r="T19" s="8"/>
      <c r="U19" s="8"/>
      <c r="V19" s="8"/>
      <c r="W19" s="8" t="s">
        <v>401</v>
      </c>
      <c r="X19" s="8"/>
      <c r="Z19">
        <v>1.669</v>
      </c>
      <c r="AD19" s="34" t="str">
        <f t="shared" si="0"/>
        <v>010638</v>
      </c>
      <c r="AE19">
        <f t="shared" si="1"/>
        <v>1.669</v>
      </c>
    </row>
    <row r="20" spans="1:31" ht="90" x14ac:dyDescent="0.25">
      <c r="A20" s="63" t="s">
        <v>458</v>
      </c>
      <c r="B20" s="8" t="s">
        <v>459</v>
      </c>
      <c r="C20" s="8"/>
      <c r="D20" s="8" t="s">
        <v>393</v>
      </c>
      <c r="E20" s="8" t="s">
        <v>394</v>
      </c>
      <c r="F20" s="4" t="s">
        <v>460</v>
      </c>
      <c r="G20" s="8">
        <v>200</v>
      </c>
      <c r="H20" s="8">
        <v>4</v>
      </c>
      <c r="I20" s="8" t="s">
        <v>396</v>
      </c>
      <c r="J20" s="8" t="s">
        <v>397</v>
      </c>
      <c r="K20" s="8"/>
      <c r="L20" s="8"/>
      <c r="M20" s="8"/>
      <c r="N20" s="65"/>
      <c r="O20" s="8"/>
      <c r="P20" s="63" t="s">
        <v>398</v>
      </c>
      <c r="Q20" s="14" t="s">
        <v>399</v>
      </c>
      <c r="R20" s="8" t="s">
        <v>400</v>
      </c>
      <c r="S20" s="8"/>
      <c r="T20" s="8"/>
      <c r="U20" s="8"/>
      <c r="V20" s="8"/>
      <c r="W20" s="8" t="s">
        <v>401</v>
      </c>
      <c r="X20" s="8"/>
      <c r="Z20">
        <v>5.3380000000000001</v>
      </c>
      <c r="AA20" s="67" t="s">
        <v>47</v>
      </c>
      <c r="AB20" s="67">
        <v>180</v>
      </c>
      <c r="AC20" s="67">
        <f>6000/(AB20+5)</f>
        <v>32.432432432432435</v>
      </c>
      <c r="AD20" s="34" t="str">
        <f t="shared" si="0"/>
        <v>010639</v>
      </c>
      <c r="AE20">
        <f t="shared" si="1"/>
        <v>5.3380000000000001</v>
      </c>
    </row>
    <row r="21" spans="1:31" x14ac:dyDescent="0.25">
      <c r="A21" s="8">
        <v>220045</v>
      </c>
      <c r="B21" s="8" t="s">
        <v>216</v>
      </c>
      <c r="C21" s="8"/>
      <c r="D21" s="8" t="s">
        <v>393</v>
      </c>
      <c r="E21" s="8" t="s">
        <v>461</v>
      </c>
      <c r="F21" s="46" t="s">
        <v>462</v>
      </c>
      <c r="G21" s="8"/>
      <c r="H21" s="8">
        <v>2</v>
      </c>
      <c r="I21" s="8" t="s">
        <v>396</v>
      </c>
      <c r="J21" s="8" t="s">
        <v>397</v>
      </c>
      <c r="K21" s="8" t="s">
        <v>407</v>
      </c>
      <c r="L21" s="8"/>
      <c r="M21" s="8"/>
      <c r="N21" s="8">
        <v>100</v>
      </c>
      <c r="O21" s="8"/>
      <c r="P21" s="63" t="s">
        <v>398</v>
      </c>
      <c r="Q21" s="8" t="s">
        <v>463</v>
      </c>
      <c r="R21" s="8"/>
      <c r="S21" s="8"/>
      <c r="T21" s="8"/>
      <c r="U21" s="8"/>
      <c r="V21" s="8"/>
      <c r="W21" s="8" t="s">
        <v>213</v>
      </c>
      <c r="X21" s="8"/>
      <c r="AD21" s="34">
        <f t="shared" si="0"/>
        <v>220045</v>
      </c>
      <c r="AE21">
        <f t="shared" si="1"/>
        <v>0</v>
      </c>
    </row>
    <row r="22" spans="1:31" x14ac:dyDescent="0.25">
      <c r="A22" s="8">
        <v>146419</v>
      </c>
      <c r="B22" s="8" t="s">
        <v>160</v>
      </c>
      <c r="C22" s="8"/>
      <c r="D22" s="8">
        <v>272358</v>
      </c>
      <c r="E22" s="8" t="s">
        <v>464</v>
      </c>
      <c r="F22" s="46" t="s">
        <v>462</v>
      </c>
      <c r="G22" s="8"/>
      <c r="H22" s="8">
        <v>1</v>
      </c>
      <c r="I22" s="8" t="s">
        <v>396</v>
      </c>
      <c r="J22" s="8" t="s">
        <v>465</v>
      </c>
      <c r="K22" s="8" t="s">
        <v>466</v>
      </c>
      <c r="L22" s="8"/>
      <c r="M22" s="8"/>
      <c r="N22" s="8">
        <v>200</v>
      </c>
      <c r="O22" s="8"/>
      <c r="P22" s="63" t="s">
        <v>244</v>
      </c>
      <c r="Q22" s="8"/>
      <c r="R22" s="8"/>
      <c r="S22" s="8"/>
      <c r="T22" s="8"/>
      <c r="U22" s="8"/>
      <c r="V22" s="8"/>
      <c r="W22" s="8" t="s">
        <v>148</v>
      </c>
      <c r="X22" s="8"/>
      <c r="AD22" s="34">
        <f t="shared" si="0"/>
        <v>146419</v>
      </c>
      <c r="AE22">
        <f t="shared" si="1"/>
        <v>0</v>
      </c>
    </row>
    <row r="23" spans="1:31" x14ac:dyDescent="0.25">
      <c r="A23" s="8">
        <v>260053</v>
      </c>
      <c r="B23" s="8" t="s">
        <v>221</v>
      </c>
      <c r="C23" s="8"/>
      <c r="D23" s="8" t="s">
        <v>393</v>
      </c>
      <c r="E23" s="8" t="s">
        <v>467</v>
      </c>
      <c r="F23" s="46" t="s">
        <v>462</v>
      </c>
      <c r="G23" s="8"/>
      <c r="H23" s="8">
        <v>1</v>
      </c>
      <c r="I23" s="8" t="s">
        <v>396</v>
      </c>
      <c r="J23" s="8" t="s">
        <v>397</v>
      </c>
      <c r="K23" s="8" t="s">
        <v>407</v>
      </c>
      <c r="L23" s="8"/>
      <c r="M23" s="8"/>
      <c r="N23" s="8">
        <v>100</v>
      </c>
      <c r="O23" s="8"/>
      <c r="P23" s="63" t="s">
        <v>436</v>
      </c>
      <c r="Q23" s="8" t="s">
        <v>77</v>
      </c>
      <c r="R23" s="8"/>
      <c r="S23" s="8"/>
      <c r="T23" s="8"/>
      <c r="U23" s="8"/>
      <c r="V23" s="8"/>
      <c r="W23" s="8" t="s">
        <v>218</v>
      </c>
      <c r="X23" s="8"/>
      <c r="AD23" s="34">
        <f t="shared" si="0"/>
        <v>260053</v>
      </c>
      <c r="AE23">
        <f t="shared" si="1"/>
        <v>0</v>
      </c>
    </row>
    <row r="24" spans="1:31" x14ac:dyDescent="0.25">
      <c r="A24" s="8">
        <v>111458</v>
      </c>
      <c r="B24" s="8" t="s">
        <v>468</v>
      </c>
      <c r="C24" s="8"/>
      <c r="D24" s="8">
        <v>272343</v>
      </c>
      <c r="E24" s="8" t="s">
        <v>469</v>
      </c>
      <c r="F24" s="46" t="s">
        <v>462</v>
      </c>
      <c r="G24" s="8"/>
      <c r="H24" s="8">
        <v>2</v>
      </c>
      <c r="I24" s="8" t="s">
        <v>396</v>
      </c>
      <c r="J24" s="8" t="s">
        <v>397</v>
      </c>
      <c r="K24" s="8" t="s">
        <v>407</v>
      </c>
      <c r="L24" s="8"/>
      <c r="M24" s="8"/>
      <c r="N24" s="8">
        <v>200</v>
      </c>
      <c r="O24" s="8"/>
      <c r="P24" s="63" t="s">
        <v>436</v>
      </c>
      <c r="Q24" s="8" t="s">
        <v>77</v>
      </c>
      <c r="R24" s="8"/>
      <c r="S24" s="8"/>
      <c r="T24" s="8"/>
      <c r="U24" s="8"/>
      <c r="V24" s="8"/>
      <c r="W24" s="8" t="s">
        <v>218</v>
      </c>
      <c r="X24" s="8"/>
      <c r="AD24" s="34">
        <f t="shared" si="0"/>
        <v>111458</v>
      </c>
      <c r="AE24">
        <f t="shared" si="1"/>
        <v>0</v>
      </c>
    </row>
    <row r="25" spans="1:31" x14ac:dyDescent="0.25">
      <c r="A25" s="8">
        <v>320111</v>
      </c>
      <c r="B25" s="8" t="s">
        <v>226</v>
      </c>
      <c r="C25" s="8"/>
      <c r="D25" s="8" t="s">
        <v>393</v>
      </c>
      <c r="E25" s="8" t="s">
        <v>470</v>
      </c>
      <c r="F25" s="46" t="s">
        <v>462</v>
      </c>
      <c r="G25" s="8"/>
      <c r="H25" s="8">
        <v>5</v>
      </c>
      <c r="I25" s="8" t="s">
        <v>396</v>
      </c>
      <c r="J25" s="8" t="s">
        <v>397</v>
      </c>
      <c r="K25" s="8" t="s">
        <v>407</v>
      </c>
      <c r="L25" s="8"/>
      <c r="M25" s="8"/>
      <c r="N25" s="8">
        <v>100</v>
      </c>
      <c r="O25" s="8"/>
      <c r="P25" s="63" t="s">
        <v>244</v>
      </c>
      <c r="Q25" s="8" t="s">
        <v>91</v>
      </c>
      <c r="R25" s="8"/>
      <c r="S25" s="8"/>
      <c r="T25" s="8"/>
      <c r="U25" s="8"/>
      <c r="V25" s="8"/>
      <c r="W25" s="8" t="s">
        <v>218</v>
      </c>
      <c r="X25" s="8"/>
      <c r="AD25" s="34">
        <f t="shared" si="0"/>
        <v>320111</v>
      </c>
      <c r="AE25">
        <f t="shared" si="1"/>
        <v>0</v>
      </c>
    </row>
    <row r="26" spans="1:31" x14ac:dyDescent="0.25">
      <c r="A26" s="8">
        <v>146428</v>
      </c>
      <c r="B26" s="8" t="s">
        <v>183</v>
      </c>
      <c r="C26" s="8"/>
      <c r="D26" s="8" t="s">
        <v>393</v>
      </c>
      <c r="E26" s="8" t="s">
        <v>464</v>
      </c>
      <c r="F26" s="46" t="s">
        <v>462</v>
      </c>
      <c r="G26" s="8"/>
      <c r="H26" s="8">
        <v>1</v>
      </c>
      <c r="I26" s="8" t="s">
        <v>396</v>
      </c>
      <c r="J26" s="8" t="s">
        <v>465</v>
      </c>
      <c r="K26" s="8" t="s">
        <v>407</v>
      </c>
      <c r="L26" s="8"/>
      <c r="M26" s="8"/>
      <c r="N26" s="8">
        <v>100</v>
      </c>
      <c r="O26" s="8"/>
      <c r="P26" s="63" t="s">
        <v>244</v>
      </c>
      <c r="Q26" s="8"/>
      <c r="R26" s="8"/>
      <c r="S26" s="8"/>
      <c r="T26" s="8"/>
      <c r="U26" s="8"/>
      <c r="V26" s="8"/>
      <c r="W26" s="8" t="s">
        <v>148</v>
      </c>
      <c r="X26" s="8"/>
      <c r="AD26" s="34">
        <f t="shared" si="0"/>
        <v>146428</v>
      </c>
      <c r="AE26">
        <f t="shared" si="1"/>
        <v>0</v>
      </c>
    </row>
    <row r="27" spans="1:31" x14ac:dyDescent="0.25">
      <c r="A27" s="8">
        <v>146429</v>
      </c>
      <c r="B27" s="8" t="s">
        <v>186</v>
      </c>
      <c r="C27" s="8"/>
      <c r="D27" s="8" t="s">
        <v>393</v>
      </c>
      <c r="E27" s="8" t="s">
        <v>464</v>
      </c>
      <c r="F27" s="46" t="s">
        <v>462</v>
      </c>
      <c r="G27" s="8"/>
      <c r="H27" s="8">
        <v>8</v>
      </c>
      <c r="I27" s="8" t="s">
        <v>396</v>
      </c>
      <c r="J27" s="8" t="s">
        <v>465</v>
      </c>
      <c r="K27" s="8" t="s">
        <v>407</v>
      </c>
      <c r="L27" s="8"/>
      <c r="M27" s="8"/>
      <c r="N27" s="8">
        <v>100</v>
      </c>
      <c r="O27" s="8"/>
      <c r="P27" s="63" t="s">
        <v>244</v>
      </c>
      <c r="Q27" s="8"/>
      <c r="R27" s="8"/>
      <c r="S27" s="8"/>
      <c r="T27" s="8"/>
      <c r="U27" s="8"/>
      <c r="V27" s="8"/>
      <c r="W27" s="8" t="s">
        <v>148</v>
      </c>
      <c r="X27" s="8"/>
      <c r="AD27" s="34">
        <f t="shared" si="0"/>
        <v>146429</v>
      </c>
      <c r="AE27">
        <f t="shared" si="1"/>
        <v>0</v>
      </c>
    </row>
    <row r="28" spans="1:31" x14ac:dyDescent="0.25">
      <c r="A28" s="8">
        <v>146210</v>
      </c>
      <c r="B28" s="8" t="s">
        <v>157</v>
      </c>
      <c r="C28" s="8"/>
      <c r="D28" s="8">
        <v>272358</v>
      </c>
      <c r="E28" s="8" t="s">
        <v>464</v>
      </c>
      <c r="F28" s="46" t="s">
        <v>462</v>
      </c>
      <c r="G28" s="8"/>
      <c r="H28" s="8">
        <v>1</v>
      </c>
      <c r="I28" s="8" t="s">
        <v>396</v>
      </c>
      <c r="J28" s="8" t="s">
        <v>465</v>
      </c>
      <c r="K28" s="8" t="s">
        <v>466</v>
      </c>
      <c r="L28" s="8"/>
      <c r="M28" s="8"/>
      <c r="N28" s="8">
        <v>200</v>
      </c>
      <c r="O28" s="8"/>
      <c r="P28" s="63" t="s">
        <v>244</v>
      </c>
      <c r="Q28" s="8"/>
      <c r="R28" s="8"/>
      <c r="S28" s="8"/>
      <c r="T28" s="8"/>
      <c r="U28" s="8"/>
      <c r="V28" s="8"/>
      <c r="W28" s="8" t="s">
        <v>148</v>
      </c>
      <c r="X28" s="8"/>
      <c r="AD28" s="34">
        <f t="shared" si="0"/>
        <v>146210</v>
      </c>
      <c r="AE28">
        <f t="shared" si="1"/>
        <v>0</v>
      </c>
    </row>
    <row r="29" spans="1:31" x14ac:dyDescent="0.25">
      <c r="A29" s="8">
        <v>146421</v>
      </c>
      <c r="B29" s="8" t="s">
        <v>165</v>
      </c>
      <c r="C29" s="8"/>
      <c r="D29" s="8">
        <v>272357</v>
      </c>
      <c r="E29" s="8" t="s">
        <v>464</v>
      </c>
      <c r="F29" s="46" t="s">
        <v>462</v>
      </c>
      <c r="G29" s="8"/>
      <c r="H29" s="8">
        <v>16</v>
      </c>
      <c r="I29" s="8" t="s">
        <v>396</v>
      </c>
      <c r="J29" s="8" t="s">
        <v>465</v>
      </c>
      <c r="K29" s="8" t="s">
        <v>466</v>
      </c>
      <c r="L29" s="8"/>
      <c r="M29" s="8"/>
      <c r="N29" s="8">
        <v>200</v>
      </c>
      <c r="O29" s="8"/>
      <c r="P29" s="63" t="s">
        <v>244</v>
      </c>
      <c r="Q29" s="8"/>
      <c r="R29" s="8"/>
      <c r="S29" s="8"/>
      <c r="T29" s="8"/>
      <c r="U29" s="8"/>
      <c r="V29" s="8"/>
      <c r="W29" s="8" t="s">
        <v>148</v>
      </c>
      <c r="X29" s="8"/>
      <c r="AD29" s="34">
        <f t="shared" si="0"/>
        <v>146421</v>
      </c>
      <c r="AE29">
        <f t="shared" si="1"/>
        <v>0</v>
      </c>
    </row>
    <row r="30" spans="1:31" x14ac:dyDescent="0.25">
      <c r="A30" s="8">
        <v>146426</v>
      </c>
      <c r="B30" s="8" t="s">
        <v>172</v>
      </c>
      <c r="C30" s="8"/>
      <c r="D30" s="8" t="s">
        <v>471</v>
      </c>
      <c r="E30" s="8" t="s">
        <v>464</v>
      </c>
      <c r="F30" s="46" t="s">
        <v>462</v>
      </c>
      <c r="G30" s="8"/>
      <c r="H30" s="8">
        <v>4</v>
      </c>
      <c r="I30" s="8" t="s">
        <v>396</v>
      </c>
      <c r="J30" s="8" t="s">
        <v>465</v>
      </c>
      <c r="K30" s="8" t="s">
        <v>466</v>
      </c>
      <c r="L30" s="8"/>
      <c r="M30" s="8"/>
      <c r="N30" s="8">
        <v>200</v>
      </c>
      <c r="O30" s="8"/>
      <c r="P30" s="63" t="s">
        <v>244</v>
      </c>
      <c r="Q30" s="8"/>
      <c r="R30" s="8"/>
      <c r="S30" s="8"/>
      <c r="T30" s="8"/>
      <c r="U30" s="8"/>
      <c r="V30" s="8"/>
      <c r="W30" s="8" t="s">
        <v>148</v>
      </c>
      <c r="X30" s="8"/>
      <c r="AD30" s="34">
        <f t="shared" si="0"/>
        <v>146426</v>
      </c>
      <c r="AE30">
        <f t="shared" si="1"/>
        <v>0</v>
      </c>
    </row>
    <row r="31" spans="1:31" x14ac:dyDescent="0.25">
      <c r="A31" s="8">
        <v>146425</v>
      </c>
      <c r="B31" s="8" t="s">
        <v>180</v>
      </c>
      <c r="C31" s="8"/>
      <c r="D31" s="8" t="s">
        <v>393</v>
      </c>
      <c r="E31" s="8" t="s">
        <v>464</v>
      </c>
      <c r="F31" s="46" t="s">
        <v>462</v>
      </c>
      <c r="G31" s="8"/>
      <c r="H31" s="8">
        <v>2</v>
      </c>
      <c r="I31" s="8" t="s">
        <v>396</v>
      </c>
      <c r="J31" s="8" t="s">
        <v>465</v>
      </c>
      <c r="K31" s="8" t="s">
        <v>407</v>
      </c>
      <c r="L31" s="8"/>
      <c r="M31" s="8"/>
      <c r="N31" s="8">
        <v>100</v>
      </c>
      <c r="O31" s="8"/>
      <c r="P31" s="63" t="s">
        <v>244</v>
      </c>
      <c r="Q31" s="8"/>
      <c r="R31" s="8"/>
      <c r="S31" s="8"/>
      <c r="T31" s="8"/>
      <c r="U31" s="8"/>
      <c r="V31" s="8"/>
      <c r="W31" s="8" t="s">
        <v>148</v>
      </c>
      <c r="X31" s="8"/>
      <c r="AD31" s="34">
        <f t="shared" si="0"/>
        <v>146425</v>
      </c>
      <c r="AE31">
        <f t="shared" si="1"/>
        <v>0</v>
      </c>
    </row>
    <row r="32" spans="1:31" x14ac:dyDescent="0.25">
      <c r="A32" s="8">
        <v>146430</v>
      </c>
      <c r="B32" s="8" t="s">
        <v>175</v>
      </c>
      <c r="C32" s="8"/>
      <c r="D32" s="8" t="s">
        <v>472</v>
      </c>
      <c r="E32" s="8" t="s">
        <v>464</v>
      </c>
      <c r="F32" s="46" t="s">
        <v>462</v>
      </c>
      <c r="G32" s="8"/>
      <c r="H32" s="8">
        <v>14</v>
      </c>
      <c r="I32" s="8" t="s">
        <v>396</v>
      </c>
      <c r="J32" s="8" t="s">
        <v>465</v>
      </c>
      <c r="K32" s="8" t="s">
        <v>466</v>
      </c>
      <c r="L32" s="8"/>
      <c r="M32" s="8"/>
      <c r="N32" s="8">
        <v>200</v>
      </c>
      <c r="O32" s="8"/>
      <c r="P32" s="63" t="s">
        <v>244</v>
      </c>
      <c r="Q32" s="8"/>
      <c r="R32" s="8"/>
      <c r="S32" s="8"/>
      <c r="T32" s="8"/>
      <c r="U32" s="8"/>
      <c r="V32" s="8"/>
      <c r="W32" s="8" t="s">
        <v>148</v>
      </c>
      <c r="X32" s="8"/>
      <c r="AD32" s="34">
        <f t="shared" si="0"/>
        <v>146430</v>
      </c>
      <c r="AE32">
        <f t="shared" si="1"/>
        <v>0</v>
      </c>
    </row>
    <row r="33" spans="1:31" x14ac:dyDescent="0.25">
      <c r="A33" s="8">
        <v>146431</v>
      </c>
      <c r="B33" s="8" t="s">
        <v>177</v>
      </c>
      <c r="C33" s="8"/>
      <c r="D33" s="8" t="s">
        <v>473</v>
      </c>
      <c r="E33" s="8" t="s">
        <v>464</v>
      </c>
      <c r="F33" s="46" t="s">
        <v>462</v>
      </c>
      <c r="G33" s="8"/>
      <c r="H33" s="8">
        <v>16</v>
      </c>
      <c r="I33" s="8" t="s">
        <v>396</v>
      </c>
      <c r="J33" s="8" t="s">
        <v>465</v>
      </c>
      <c r="K33" s="8" t="s">
        <v>466</v>
      </c>
      <c r="L33" s="8"/>
      <c r="M33" s="8"/>
      <c r="N33" s="8">
        <v>200</v>
      </c>
      <c r="O33" s="8"/>
      <c r="P33" s="63" t="s">
        <v>244</v>
      </c>
      <c r="Q33" s="8"/>
      <c r="R33" s="8"/>
      <c r="S33" s="8"/>
      <c r="T33" s="8"/>
      <c r="U33" s="8"/>
      <c r="V33" s="8"/>
      <c r="W33" s="8" t="s">
        <v>148</v>
      </c>
      <c r="X33" s="8"/>
      <c r="AD33" s="34">
        <f t="shared" si="0"/>
        <v>146431</v>
      </c>
      <c r="AE33">
        <f t="shared" si="1"/>
        <v>0</v>
      </c>
    </row>
    <row r="34" spans="1:31" x14ac:dyDescent="0.25">
      <c r="A34" s="8">
        <v>146422</v>
      </c>
      <c r="B34" s="8" t="s">
        <v>169</v>
      </c>
      <c r="C34" s="8"/>
      <c r="D34" s="8" t="s">
        <v>474</v>
      </c>
      <c r="E34" s="8" t="s">
        <v>464</v>
      </c>
      <c r="F34" s="46" t="s">
        <v>462</v>
      </c>
      <c r="G34" s="8"/>
      <c r="H34" s="8">
        <v>2</v>
      </c>
      <c r="I34" s="8" t="s">
        <v>396</v>
      </c>
      <c r="J34" s="8" t="s">
        <v>465</v>
      </c>
      <c r="K34" s="8" t="s">
        <v>466</v>
      </c>
      <c r="L34" s="8"/>
      <c r="M34" s="8"/>
      <c r="N34" s="8">
        <v>200</v>
      </c>
      <c r="O34" s="8"/>
      <c r="P34" s="63" t="s">
        <v>244</v>
      </c>
      <c r="Q34" s="8"/>
      <c r="R34" s="8"/>
      <c r="S34" s="8"/>
      <c r="T34" s="8"/>
      <c r="U34" s="8"/>
      <c r="V34" s="8"/>
      <c r="W34" s="8" t="s">
        <v>148</v>
      </c>
      <c r="X34" s="8"/>
      <c r="AD34" s="34">
        <f t="shared" si="0"/>
        <v>146422</v>
      </c>
      <c r="AE34">
        <f t="shared" si="1"/>
        <v>0</v>
      </c>
    </row>
    <row r="35" spans="1:31" x14ac:dyDescent="0.25">
      <c r="A35" s="8">
        <v>160160</v>
      </c>
      <c r="B35" s="8" t="s">
        <v>264</v>
      </c>
      <c r="C35" s="8"/>
      <c r="D35" s="8" t="s">
        <v>475</v>
      </c>
      <c r="E35" s="8" t="s">
        <v>476</v>
      </c>
      <c r="F35" s="46" t="s">
        <v>462</v>
      </c>
      <c r="G35" s="8"/>
      <c r="H35" s="8">
        <v>2</v>
      </c>
      <c r="I35" s="8" t="s">
        <v>396</v>
      </c>
      <c r="J35" s="8" t="s">
        <v>465</v>
      </c>
      <c r="K35" s="8" t="s">
        <v>466</v>
      </c>
      <c r="L35" s="8"/>
      <c r="M35" s="8"/>
      <c r="N35" s="8">
        <v>200</v>
      </c>
      <c r="O35" s="8"/>
      <c r="P35" s="63" t="s">
        <v>244</v>
      </c>
      <c r="Q35" s="8"/>
      <c r="R35" s="8"/>
      <c r="S35" s="8"/>
      <c r="T35" s="8"/>
      <c r="U35" s="8"/>
      <c r="V35" s="8"/>
      <c r="W35" s="8" t="s">
        <v>258</v>
      </c>
      <c r="X35" s="8"/>
      <c r="AD35" s="34">
        <f t="shared" si="0"/>
        <v>160160</v>
      </c>
      <c r="AE35">
        <f t="shared" si="1"/>
        <v>0</v>
      </c>
    </row>
    <row r="36" spans="1:31" x14ac:dyDescent="0.25">
      <c r="A36" s="8">
        <v>160159</v>
      </c>
      <c r="B36" s="8" t="s">
        <v>261</v>
      </c>
      <c r="C36" s="8"/>
      <c r="D36" s="8" t="s">
        <v>477</v>
      </c>
      <c r="E36" s="8" t="s">
        <v>476</v>
      </c>
      <c r="F36" s="46" t="s">
        <v>462</v>
      </c>
      <c r="G36" s="8"/>
      <c r="H36" s="8">
        <v>2</v>
      </c>
      <c r="I36" s="8" t="s">
        <v>396</v>
      </c>
      <c r="J36" s="8" t="s">
        <v>465</v>
      </c>
      <c r="K36" s="8" t="s">
        <v>466</v>
      </c>
      <c r="L36" s="8"/>
      <c r="M36" s="8"/>
      <c r="N36" s="8">
        <v>200</v>
      </c>
      <c r="O36" s="8"/>
      <c r="P36" s="63" t="s">
        <v>244</v>
      </c>
      <c r="Q36" s="8"/>
      <c r="R36" s="8"/>
      <c r="S36" s="8"/>
      <c r="T36" s="8"/>
      <c r="U36" s="8"/>
      <c r="V36" s="8"/>
      <c r="W36" s="8" t="s">
        <v>258</v>
      </c>
      <c r="X36" s="8"/>
      <c r="AD36" s="34">
        <f t="shared" si="0"/>
        <v>160159</v>
      </c>
      <c r="AE36">
        <f t="shared" si="1"/>
        <v>0</v>
      </c>
    </row>
    <row r="37" spans="1:31" x14ac:dyDescent="0.25">
      <c r="A37" s="8">
        <v>160161</v>
      </c>
      <c r="B37" s="8" t="s">
        <v>267</v>
      </c>
      <c r="C37" s="8"/>
      <c r="D37" s="8">
        <v>272343</v>
      </c>
      <c r="E37" s="8" t="s">
        <v>476</v>
      </c>
      <c r="F37" s="46" t="s">
        <v>462</v>
      </c>
      <c r="G37" s="8"/>
      <c r="H37" s="8">
        <v>2</v>
      </c>
      <c r="I37" s="8" t="s">
        <v>396</v>
      </c>
      <c r="J37" s="8" t="s">
        <v>465</v>
      </c>
      <c r="K37" s="8" t="s">
        <v>466</v>
      </c>
      <c r="L37" s="8"/>
      <c r="M37" s="8"/>
      <c r="N37" s="8">
        <v>200</v>
      </c>
      <c r="O37" s="8"/>
      <c r="P37" s="63" t="s">
        <v>244</v>
      </c>
      <c r="Q37" s="8"/>
      <c r="R37" s="8"/>
      <c r="S37" s="8"/>
      <c r="T37" s="8"/>
      <c r="U37" s="8"/>
      <c r="V37" s="8"/>
      <c r="W37" s="8" t="s">
        <v>258</v>
      </c>
      <c r="X37" s="8"/>
      <c r="AD37" s="34">
        <f t="shared" si="0"/>
        <v>160161</v>
      </c>
      <c r="AE37">
        <f t="shared" si="1"/>
        <v>0</v>
      </c>
    </row>
    <row r="38" spans="1:31" ht="45" x14ac:dyDescent="0.25">
      <c r="A38" s="8">
        <v>122233</v>
      </c>
      <c r="B38" s="8" t="s">
        <v>284</v>
      </c>
      <c r="C38" s="8"/>
      <c r="D38" s="8">
        <v>272400</v>
      </c>
      <c r="E38" s="8" t="s">
        <v>478</v>
      </c>
      <c r="F38" s="4" t="s">
        <v>414</v>
      </c>
      <c r="G38" s="8"/>
      <c r="H38" s="8">
        <v>1</v>
      </c>
      <c r="I38" s="8" t="s">
        <v>396</v>
      </c>
      <c r="J38" s="8" t="s">
        <v>397</v>
      </c>
      <c r="K38" s="8" t="s">
        <v>466</v>
      </c>
      <c r="L38" s="8"/>
      <c r="M38" s="8"/>
      <c r="N38" s="8">
        <v>200</v>
      </c>
      <c r="O38" s="8"/>
      <c r="P38" s="63" t="s">
        <v>436</v>
      </c>
      <c r="Q38" s="14" t="s">
        <v>285</v>
      </c>
      <c r="R38" s="8"/>
      <c r="S38" s="8"/>
      <c r="T38" s="8"/>
      <c r="U38" s="8"/>
      <c r="V38" s="8"/>
      <c r="W38" s="8" t="s">
        <v>281</v>
      </c>
      <c r="X38" s="8"/>
      <c r="AD38" s="34">
        <f t="shared" si="0"/>
        <v>122233</v>
      </c>
      <c r="AE38">
        <f t="shared" si="1"/>
        <v>0</v>
      </c>
    </row>
    <row r="39" spans="1:31" ht="45" x14ac:dyDescent="0.25">
      <c r="A39" s="8">
        <v>122234</v>
      </c>
      <c r="B39" s="8" t="s">
        <v>288</v>
      </c>
      <c r="C39" s="8"/>
      <c r="D39" s="8">
        <v>272400</v>
      </c>
      <c r="E39" s="8" t="s">
        <v>478</v>
      </c>
      <c r="F39" s="4" t="s">
        <v>414</v>
      </c>
      <c r="G39" s="8"/>
      <c r="H39" s="8">
        <v>1</v>
      </c>
      <c r="I39" s="8" t="s">
        <v>396</v>
      </c>
      <c r="J39" s="8" t="s">
        <v>397</v>
      </c>
      <c r="K39" s="8" t="s">
        <v>466</v>
      </c>
      <c r="L39" s="8"/>
      <c r="M39" s="8"/>
      <c r="N39" s="8">
        <v>200</v>
      </c>
      <c r="O39" s="8"/>
      <c r="P39" s="63" t="s">
        <v>436</v>
      </c>
      <c r="Q39" s="14" t="s">
        <v>285</v>
      </c>
      <c r="R39" s="8"/>
      <c r="S39" s="8"/>
      <c r="T39" s="8"/>
      <c r="U39" s="8"/>
      <c r="V39" s="8"/>
      <c r="W39" s="8" t="s">
        <v>281</v>
      </c>
      <c r="X39" s="8"/>
      <c r="AD39" s="34">
        <f t="shared" si="0"/>
        <v>122234</v>
      </c>
      <c r="AE39">
        <f t="shared" si="1"/>
        <v>0</v>
      </c>
    </row>
    <row r="40" spans="1:31" ht="45" x14ac:dyDescent="0.25">
      <c r="A40" s="8">
        <v>131373</v>
      </c>
      <c r="B40" s="8" t="s">
        <v>257</v>
      </c>
      <c r="C40" s="8"/>
      <c r="D40" s="8">
        <v>272358</v>
      </c>
      <c r="E40" s="8" t="s">
        <v>479</v>
      </c>
      <c r="F40" s="46" t="s">
        <v>480</v>
      </c>
      <c r="G40" s="8"/>
      <c r="H40" s="8">
        <v>1</v>
      </c>
      <c r="I40" s="8" t="s">
        <v>396</v>
      </c>
      <c r="J40" s="8" t="s">
        <v>465</v>
      </c>
      <c r="K40" s="8" t="s">
        <v>466</v>
      </c>
      <c r="L40" s="8"/>
      <c r="M40" s="8"/>
      <c r="N40" s="8">
        <v>200</v>
      </c>
      <c r="O40" s="8"/>
      <c r="P40" s="63" t="s">
        <v>244</v>
      </c>
      <c r="Q40" s="8"/>
      <c r="R40" s="8"/>
      <c r="S40" s="8"/>
      <c r="T40" s="8"/>
      <c r="U40" s="8"/>
      <c r="V40" s="8"/>
      <c r="W40" s="8" t="s">
        <v>254</v>
      </c>
      <c r="X40" s="8"/>
      <c r="AD40" s="34">
        <f t="shared" si="0"/>
        <v>131373</v>
      </c>
      <c r="AE40">
        <f t="shared" si="1"/>
        <v>0</v>
      </c>
    </row>
    <row r="41" spans="1:31" x14ac:dyDescent="0.25">
      <c r="A41" s="8">
        <v>131382</v>
      </c>
      <c r="B41" s="8" t="s">
        <v>280</v>
      </c>
      <c r="C41" s="8"/>
      <c r="D41" s="8" t="s">
        <v>393</v>
      </c>
      <c r="E41" s="8" t="s">
        <v>479</v>
      </c>
      <c r="F41" s="46" t="s">
        <v>462</v>
      </c>
      <c r="G41" s="8"/>
      <c r="H41" s="8">
        <v>1</v>
      </c>
      <c r="I41" s="8" t="s">
        <v>396</v>
      </c>
      <c r="J41" s="8" t="s">
        <v>465</v>
      </c>
      <c r="K41" s="8" t="s">
        <v>407</v>
      </c>
      <c r="L41" s="8"/>
      <c r="M41" s="8"/>
      <c r="N41" s="8">
        <v>100</v>
      </c>
      <c r="O41" s="8"/>
      <c r="P41" s="63" t="s">
        <v>244</v>
      </c>
      <c r="Q41" s="8"/>
      <c r="R41" s="8"/>
      <c r="S41" s="8"/>
      <c r="T41" s="8"/>
      <c r="U41" s="8"/>
      <c r="V41" s="8"/>
      <c r="W41" s="8" t="s">
        <v>268</v>
      </c>
      <c r="X41" s="8"/>
      <c r="AD41" s="34">
        <f t="shared" si="0"/>
        <v>131382</v>
      </c>
      <c r="AE41">
        <f t="shared" si="1"/>
        <v>0</v>
      </c>
    </row>
    <row r="42" spans="1:31" x14ac:dyDescent="0.25">
      <c r="A42" s="8">
        <v>131379</v>
      </c>
      <c r="B42" s="8" t="s">
        <v>274</v>
      </c>
      <c r="C42" s="8"/>
      <c r="D42" s="8" t="s">
        <v>481</v>
      </c>
      <c r="E42" s="8" t="s">
        <v>479</v>
      </c>
      <c r="F42" s="46" t="s">
        <v>462</v>
      </c>
      <c r="G42" s="8"/>
      <c r="H42" s="8">
        <v>8</v>
      </c>
      <c r="I42" s="8" t="s">
        <v>396</v>
      </c>
      <c r="J42" s="8" t="s">
        <v>465</v>
      </c>
      <c r="K42" s="8" t="s">
        <v>466</v>
      </c>
      <c r="L42" s="8"/>
      <c r="M42" s="8"/>
      <c r="N42" s="8">
        <v>200</v>
      </c>
      <c r="O42" s="8"/>
      <c r="P42" s="63" t="s">
        <v>244</v>
      </c>
      <c r="Q42" s="8"/>
      <c r="R42" s="8"/>
      <c r="S42" s="8"/>
      <c r="T42" s="8"/>
      <c r="U42" s="8"/>
      <c r="V42" s="8"/>
      <c r="W42" s="8" t="s">
        <v>268</v>
      </c>
      <c r="X42" s="8"/>
      <c r="AD42" s="34">
        <f t="shared" si="0"/>
        <v>131379</v>
      </c>
      <c r="AE42">
        <f t="shared" si="1"/>
        <v>0</v>
      </c>
    </row>
    <row r="43" spans="1:31" x14ac:dyDescent="0.25">
      <c r="A43" s="8">
        <v>131378</v>
      </c>
      <c r="B43" s="8" t="s">
        <v>271</v>
      </c>
      <c r="C43" s="8"/>
      <c r="D43" s="8" t="s">
        <v>393</v>
      </c>
      <c r="E43" s="8" t="s">
        <v>479</v>
      </c>
      <c r="F43" s="46" t="s">
        <v>462</v>
      </c>
      <c r="G43" s="8"/>
      <c r="H43" s="8">
        <v>1</v>
      </c>
      <c r="I43" s="8" t="s">
        <v>396</v>
      </c>
      <c r="J43" s="8" t="s">
        <v>465</v>
      </c>
      <c r="K43" s="8" t="s">
        <v>407</v>
      </c>
      <c r="L43" s="8"/>
      <c r="M43" s="8"/>
      <c r="N43" s="8">
        <v>100</v>
      </c>
      <c r="O43" s="8"/>
      <c r="P43" s="63" t="s">
        <v>244</v>
      </c>
      <c r="Q43" s="8"/>
      <c r="R43" s="8"/>
      <c r="S43" s="8"/>
      <c r="T43" s="8"/>
      <c r="U43" s="8"/>
      <c r="V43" s="8"/>
      <c r="W43" s="8" t="s">
        <v>268</v>
      </c>
      <c r="X43" s="8"/>
      <c r="AD43" s="34">
        <f t="shared" si="0"/>
        <v>131378</v>
      </c>
      <c r="AE43">
        <f t="shared" si="1"/>
        <v>0</v>
      </c>
    </row>
    <row r="44" spans="1:31" x14ac:dyDescent="0.25">
      <c r="A44" s="8">
        <v>131376</v>
      </c>
      <c r="B44" s="8" t="s">
        <v>207</v>
      </c>
      <c r="C44" s="8"/>
      <c r="D44" s="8">
        <v>272358</v>
      </c>
      <c r="E44" s="8" t="s">
        <v>479</v>
      </c>
      <c r="F44" s="46" t="s">
        <v>462</v>
      </c>
      <c r="G44" s="8"/>
      <c r="H44" s="8">
        <v>1</v>
      </c>
      <c r="I44" s="8" t="s">
        <v>396</v>
      </c>
      <c r="J44" s="8" t="s">
        <v>397</v>
      </c>
      <c r="K44" s="8" t="s">
        <v>466</v>
      </c>
      <c r="L44" s="8"/>
      <c r="M44" s="8"/>
      <c r="N44" s="8">
        <v>200</v>
      </c>
      <c r="O44" s="8"/>
      <c r="P44" s="63" t="s">
        <v>436</v>
      </c>
      <c r="Q44" s="8" t="s">
        <v>208</v>
      </c>
      <c r="R44" s="8"/>
      <c r="S44" s="8"/>
      <c r="T44" s="8"/>
      <c r="U44" s="8"/>
      <c r="V44" s="8"/>
      <c r="W44" s="8" t="s">
        <v>204</v>
      </c>
      <c r="X44" s="8"/>
      <c r="AD44" s="34">
        <f t="shared" si="0"/>
        <v>131376</v>
      </c>
      <c r="AE44">
        <f t="shared" si="1"/>
        <v>0</v>
      </c>
    </row>
    <row r="45" spans="1:31" x14ac:dyDescent="0.25">
      <c r="A45" s="8">
        <v>131380</v>
      </c>
      <c r="B45" s="8" t="s">
        <v>277</v>
      </c>
      <c r="C45" s="8"/>
      <c r="D45" s="8">
        <v>272349</v>
      </c>
      <c r="E45" s="8" t="s">
        <v>479</v>
      </c>
      <c r="F45" s="46" t="s">
        <v>462</v>
      </c>
      <c r="G45" s="8"/>
      <c r="H45" s="8">
        <v>4</v>
      </c>
      <c r="I45" s="8" t="s">
        <v>396</v>
      </c>
      <c r="J45" s="8" t="s">
        <v>465</v>
      </c>
      <c r="K45" s="8" t="s">
        <v>466</v>
      </c>
      <c r="L45" s="8"/>
      <c r="M45" s="8"/>
      <c r="N45" s="8">
        <v>200</v>
      </c>
      <c r="O45" s="8"/>
      <c r="P45" s="63" t="s">
        <v>244</v>
      </c>
      <c r="Q45" s="8"/>
      <c r="R45" s="8"/>
      <c r="S45" s="8"/>
      <c r="T45" s="8"/>
      <c r="U45" s="8"/>
      <c r="V45" s="8"/>
      <c r="W45" s="8" t="s">
        <v>268</v>
      </c>
      <c r="X45" s="8"/>
      <c r="AD45" s="34">
        <f t="shared" si="0"/>
        <v>131380</v>
      </c>
      <c r="AE45">
        <f t="shared" si="1"/>
        <v>0</v>
      </c>
    </row>
    <row r="46" spans="1:31" ht="45" x14ac:dyDescent="0.25">
      <c r="A46" s="8">
        <v>131374</v>
      </c>
      <c r="B46" s="8" t="s">
        <v>482</v>
      </c>
      <c r="C46" s="8"/>
      <c r="D46" s="8">
        <v>272347</v>
      </c>
      <c r="E46" s="8" t="s">
        <v>479</v>
      </c>
      <c r="F46" s="4" t="s">
        <v>480</v>
      </c>
      <c r="G46" s="8"/>
      <c r="H46" s="8">
        <v>4</v>
      </c>
      <c r="I46" s="8" t="s">
        <v>396</v>
      </c>
      <c r="J46" s="8" t="s">
        <v>397</v>
      </c>
      <c r="K46" s="8" t="s">
        <v>466</v>
      </c>
      <c r="L46" s="8"/>
      <c r="M46" s="8"/>
      <c r="N46" s="52">
        <v>200</v>
      </c>
      <c r="O46" s="8"/>
      <c r="P46" s="63" t="s">
        <v>436</v>
      </c>
      <c r="Q46" s="8" t="s">
        <v>483</v>
      </c>
      <c r="R46" s="8"/>
      <c r="S46" s="8"/>
      <c r="T46" s="8"/>
      <c r="U46" s="8"/>
      <c r="V46" s="8"/>
      <c r="W46" s="8" t="s">
        <v>17</v>
      </c>
      <c r="X46" s="8"/>
      <c r="AD46" s="34">
        <f t="shared" si="0"/>
        <v>131374</v>
      </c>
      <c r="AE46">
        <f t="shared" si="1"/>
        <v>0</v>
      </c>
    </row>
    <row r="47" spans="1:31" ht="30" x14ac:dyDescent="0.25">
      <c r="A47" s="8">
        <v>131375</v>
      </c>
      <c r="B47" s="8" t="s">
        <v>484</v>
      </c>
      <c r="C47" s="8"/>
      <c r="D47" s="8">
        <v>272358</v>
      </c>
      <c r="E47" s="8" t="s">
        <v>479</v>
      </c>
      <c r="F47" s="4" t="s">
        <v>449</v>
      </c>
      <c r="G47" s="8"/>
      <c r="H47" s="8">
        <v>1</v>
      </c>
      <c r="I47" s="8" t="s">
        <v>396</v>
      </c>
      <c r="J47" s="8" t="s">
        <v>397</v>
      </c>
      <c r="K47" s="8" t="s">
        <v>466</v>
      </c>
      <c r="L47" s="8"/>
      <c r="M47" s="8"/>
      <c r="N47" s="8">
        <v>200</v>
      </c>
      <c r="O47" s="8"/>
      <c r="P47" s="63" t="s">
        <v>436</v>
      </c>
      <c r="Q47" s="14" t="s">
        <v>53</v>
      </c>
      <c r="R47" s="8"/>
      <c r="S47" s="8"/>
      <c r="T47" s="8"/>
      <c r="U47" s="8"/>
      <c r="V47" s="8"/>
      <c r="W47" s="8" t="s">
        <v>17</v>
      </c>
      <c r="X47" s="8"/>
      <c r="AD47" s="34">
        <f t="shared" si="0"/>
        <v>131375</v>
      </c>
      <c r="AE47">
        <f t="shared" si="1"/>
        <v>0</v>
      </c>
    </row>
    <row r="48" spans="1:31" ht="30" x14ac:dyDescent="0.25">
      <c r="A48" s="8">
        <v>131377</v>
      </c>
      <c r="B48" s="8" t="s">
        <v>485</v>
      </c>
      <c r="C48" s="8"/>
      <c r="D48" s="8">
        <v>272358</v>
      </c>
      <c r="E48" s="8" t="s">
        <v>479</v>
      </c>
      <c r="F48" s="4" t="s">
        <v>449</v>
      </c>
      <c r="G48" s="8"/>
      <c r="H48" s="8">
        <v>1</v>
      </c>
      <c r="I48" s="8" t="s">
        <v>396</v>
      </c>
      <c r="J48" s="8" t="s">
        <v>397</v>
      </c>
      <c r="K48" s="8" t="s">
        <v>466</v>
      </c>
      <c r="L48" s="8"/>
      <c r="M48" s="8"/>
      <c r="N48" s="8">
        <v>200</v>
      </c>
      <c r="O48" s="8"/>
      <c r="P48" s="63" t="s">
        <v>436</v>
      </c>
      <c r="Q48" s="14" t="s">
        <v>53</v>
      </c>
      <c r="R48" s="8"/>
      <c r="S48" s="8"/>
      <c r="T48" s="8"/>
      <c r="U48" s="8"/>
      <c r="V48" s="8"/>
      <c r="W48" s="8" t="s">
        <v>17</v>
      </c>
      <c r="X48" s="8"/>
      <c r="AD48" s="34">
        <f t="shared" si="0"/>
        <v>131377</v>
      </c>
      <c r="AE48">
        <f t="shared" si="1"/>
        <v>0</v>
      </c>
    </row>
    <row r="49" spans="1:31" x14ac:dyDescent="0.25">
      <c r="A49" s="8">
        <v>131383</v>
      </c>
      <c r="B49" s="8" t="s">
        <v>291</v>
      </c>
      <c r="C49" s="8"/>
      <c r="D49" s="8" t="s">
        <v>393</v>
      </c>
      <c r="E49" s="8" t="s">
        <v>479</v>
      </c>
      <c r="F49" s="4" t="s">
        <v>405</v>
      </c>
      <c r="G49" s="8"/>
      <c r="H49" s="8">
        <v>16</v>
      </c>
      <c r="I49" s="8" t="s">
        <v>396</v>
      </c>
      <c r="J49" s="8" t="s">
        <v>406</v>
      </c>
      <c r="K49" s="8" t="s">
        <v>407</v>
      </c>
      <c r="L49" s="8"/>
      <c r="M49" s="8"/>
      <c r="N49" s="8">
        <v>200</v>
      </c>
      <c r="O49" s="8"/>
      <c r="P49" s="63" t="s">
        <v>436</v>
      </c>
      <c r="Q49" s="14" t="s">
        <v>30</v>
      </c>
      <c r="R49" s="8"/>
      <c r="S49" s="8"/>
      <c r="T49" s="8"/>
      <c r="U49" s="8"/>
      <c r="V49" s="8"/>
      <c r="W49" s="8" t="s">
        <v>281</v>
      </c>
      <c r="X49" s="8"/>
      <c r="AD49" s="34">
        <f t="shared" si="0"/>
        <v>131383</v>
      </c>
      <c r="AE49">
        <f t="shared" si="1"/>
        <v>0</v>
      </c>
    </row>
    <row r="50" spans="1:31" x14ac:dyDescent="0.25">
      <c r="A50" s="8">
        <v>131384</v>
      </c>
      <c r="B50" s="8" t="s">
        <v>294</v>
      </c>
      <c r="C50" s="8"/>
      <c r="D50" s="8" t="s">
        <v>393</v>
      </c>
      <c r="E50" s="8" t="s">
        <v>479</v>
      </c>
      <c r="F50" s="4" t="s">
        <v>405</v>
      </c>
      <c r="G50" s="8"/>
      <c r="H50" s="8">
        <v>16</v>
      </c>
      <c r="I50" s="8" t="s">
        <v>396</v>
      </c>
      <c r="J50" s="8" t="s">
        <v>406</v>
      </c>
      <c r="K50" s="8" t="s">
        <v>407</v>
      </c>
      <c r="L50" s="8"/>
      <c r="M50" s="8"/>
      <c r="N50" s="8">
        <v>200</v>
      </c>
      <c r="O50" s="8"/>
      <c r="P50" s="63" t="s">
        <v>436</v>
      </c>
      <c r="Q50" s="14" t="s">
        <v>30</v>
      </c>
      <c r="R50" s="8"/>
      <c r="S50" s="8"/>
      <c r="T50" s="8"/>
      <c r="U50" s="8"/>
      <c r="V50" s="8"/>
      <c r="W50" s="8" t="s">
        <v>281</v>
      </c>
      <c r="X50" s="8"/>
      <c r="AD50" s="34">
        <f t="shared" si="0"/>
        <v>131384</v>
      </c>
      <c r="AE50">
        <f t="shared" si="1"/>
        <v>0</v>
      </c>
    </row>
    <row r="51" spans="1:31" x14ac:dyDescent="0.25">
      <c r="A51" s="8">
        <v>131385</v>
      </c>
      <c r="B51" s="8" t="s">
        <v>297</v>
      </c>
      <c r="C51" s="8"/>
      <c r="D51" s="8" t="s">
        <v>393</v>
      </c>
      <c r="E51" s="8" t="s">
        <v>479</v>
      </c>
      <c r="F51" s="4" t="s">
        <v>405</v>
      </c>
      <c r="G51" s="8"/>
      <c r="H51" s="8">
        <v>16</v>
      </c>
      <c r="I51" s="8" t="s">
        <v>396</v>
      </c>
      <c r="J51" s="8" t="s">
        <v>406</v>
      </c>
      <c r="K51" s="8" t="s">
        <v>407</v>
      </c>
      <c r="L51" s="8"/>
      <c r="M51" s="8"/>
      <c r="N51" s="8">
        <v>200</v>
      </c>
      <c r="O51" s="8"/>
      <c r="P51" s="63" t="s">
        <v>436</v>
      </c>
      <c r="Q51" s="14" t="s">
        <v>30</v>
      </c>
      <c r="R51" s="8"/>
      <c r="S51" s="8"/>
      <c r="T51" s="8"/>
      <c r="U51" s="8"/>
      <c r="V51" s="8"/>
      <c r="W51" s="8" t="s">
        <v>281</v>
      </c>
      <c r="X51" s="8"/>
      <c r="AD51" s="34">
        <f t="shared" si="0"/>
        <v>131385</v>
      </c>
      <c r="AE51">
        <f t="shared" si="1"/>
        <v>0</v>
      </c>
    </row>
    <row r="52" spans="1:31" x14ac:dyDescent="0.25">
      <c r="A52" s="8">
        <v>131386</v>
      </c>
      <c r="B52" s="8" t="s">
        <v>486</v>
      </c>
      <c r="C52" s="8"/>
      <c r="D52" s="8" t="s">
        <v>393</v>
      </c>
      <c r="E52" s="8" t="s">
        <v>479</v>
      </c>
      <c r="F52" s="4" t="s">
        <v>405</v>
      </c>
      <c r="G52" s="8"/>
      <c r="H52" s="8">
        <v>16</v>
      </c>
      <c r="I52" s="8" t="s">
        <v>396</v>
      </c>
      <c r="J52" s="8" t="s">
        <v>406</v>
      </c>
      <c r="K52" s="8" t="s">
        <v>407</v>
      </c>
      <c r="L52" s="8"/>
      <c r="M52" s="8"/>
      <c r="N52" s="8">
        <v>200</v>
      </c>
      <c r="O52" s="8"/>
      <c r="P52" s="63" t="s">
        <v>436</v>
      </c>
      <c r="Q52" s="14" t="s">
        <v>30</v>
      </c>
      <c r="R52" s="8"/>
      <c r="S52" s="8"/>
      <c r="T52" s="8"/>
      <c r="U52" s="8"/>
      <c r="V52" s="8"/>
      <c r="W52" s="8" t="s">
        <v>487</v>
      </c>
      <c r="X52" s="8"/>
      <c r="AD52" s="34">
        <f t="shared" si="0"/>
        <v>131386</v>
      </c>
      <c r="AE52">
        <f t="shared" si="1"/>
        <v>0</v>
      </c>
    </row>
    <row r="53" spans="1:31" x14ac:dyDescent="0.25">
      <c r="A53" s="8">
        <v>131387</v>
      </c>
      <c r="B53" s="8" t="s">
        <v>300</v>
      </c>
      <c r="C53" s="8"/>
      <c r="D53" s="8" t="s">
        <v>393</v>
      </c>
      <c r="E53" s="8" t="s">
        <v>479</v>
      </c>
      <c r="F53" s="4" t="s">
        <v>405</v>
      </c>
      <c r="G53" s="8"/>
      <c r="H53" s="8">
        <v>16</v>
      </c>
      <c r="I53" s="8" t="s">
        <v>396</v>
      </c>
      <c r="J53" s="8" t="s">
        <v>406</v>
      </c>
      <c r="K53" s="8" t="s">
        <v>407</v>
      </c>
      <c r="L53" s="8"/>
      <c r="M53" s="8"/>
      <c r="N53" s="8">
        <v>200</v>
      </c>
      <c r="O53" s="8"/>
      <c r="P53" s="63" t="s">
        <v>436</v>
      </c>
      <c r="Q53" s="14" t="s">
        <v>30</v>
      </c>
      <c r="R53" s="8"/>
      <c r="S53" s="8"/>
      <c r="T53" s="8"/>
      <c r="U53" s="8"/>
      <c r="V53" s="8"/>
      <c r="W53" s="8" t="s">
        <v>281</v>
      </c>
      <c r="X53" s="8"/>
      <c r="AD53" s="34">
        <f t="shared" si="0"/>
        <v>131387</v>
      </c>
      <c r="AE53">
        <f t="shared" si="1"/>
        <v>0</v>
      </c>
    </row>
    <row r="54" spans="1:31" x14ac:dyDescent="0.25">
      <c r="A54" s="8">
        <v>131388</v>
      </c>
      <c r="B54" s="8" t="s">
        <v>488</v>
      </c>
      <c r="C54" s="8"/>
      <c r="D54" s="8" t="s">
        <v>393</v>
      </c>
      <c r="E54" s="8" t="s">
        <v>479</v>
      </c>
      <c r="F54" s="4" t="s">
        <v>405</v>
      </c>
      <c r="G54" s="8"/>
      <c r="H54" s="8">
        <v>2</v>
      </c>
      <c r="I54" s="8" t="s">
        <v>396</v>
      </c>
      <c r="J54" s="8" t="s">
        <v>406</v>
      </c>
      <c r="K54" s="8" t="s">
        <v>407</v>
      </c>
      <c r="L54" s="8"/>
      <c r="M54" s="8"/>
      <c r="N54" s="8">
        <v>200</v>
      </c>
      <c r="O54" s="8"/>
      <c r="P54" s="63" t="s">
        <v>436</v>
      </c>
      <c r="Q54" s="14" t="s">
        <v>30</v>
      </c>
      <c r="R54" s="8"/>
      <c r="S54" s="8"/>
      <c r="T54" s="8"/>
      <c r="U54" s="8"/>
      <c r="V54" s="8"/>
      <c r="W54" s="8" t="s">
        <v>487</v>
      </c>
      <c r="X54" s="8"/>
      <c r="AD54" s="34">
        <f t="shared" si="0"/>
        <v>131388</v>
      </c>
      <c r="AE54">
        <f t="shared" si="1"/>
        <v>0</v>
      </c>
    </row>
    <row r="55" spans="1:31" x14ac:dyDescent="0.25">
      <c r="A55" s="8">
        <v>131389</v>
      </c>
      <c r="B55" s="8" t="s">
        <v>489</v>
      </c>
      <c r="C55" s="8"/>
      <c r="D55" s="8" t="s">
        <v>393</v>
      </c>
      <c r="E55" s="8" t="s">
        <v>479</v>
      </c>
      <c r="F55" s="4" t="s">
        <v>405</v>
      </c>
      <c r="G55" s="8"/>
      <c r="H55" s="8">
        <v>2</v>
      </c>
      <c r="I55" s="8" t="s">
        <v>396</v>
      </c>
      <c r="J55" s="8" t="s">
        <v>406</v>
      </c>
      <c r="K55" s="8" t="s">
        <v>407</v>
      </c>
      <c r="L55" s="8"/>
      <c r="M55" s="8"/>
      <c r="N55" s="8">
        <v>200</v>
      </c>
      <c r="O55" s="8"/>
      <c r="P55" s="63" t="s">
        <v>436</v>
      </c>
      <c r="Q55" s="14" t="s">
        <v>30</v>
      </c>
      <c r="R55" s="8"/>
      <c r="S55" s="8"/>
      <c r="T55" s="8"/>
      <c r="U55" s="8"/>
      <c r="V55" s="8"/>
      <c r="W55" s="8" t="s">
        <v>487</v>
      </c>
      <c r="X55" s="8"/>
      <c r="AD55" s="34">
        <f t="shared" si="0"/>
        <v>131389</v>
      </c>
      <c r="AE55">
        <f t="shared" si="1"/>
        <v>0</v>
      </c>
    </row>
    <row r="56" spans="1:31" ht="30" x14ac:dyDescent="0.25">
      <c r="A56" s="8">
        <v>131390</v>
      </c>
      <c r="B56" s="8" t="s">
        <v>490</v>
      </c>
      <c r="C56" s="8"/>
      <c r="D56" s="8" t="s">
        <v>393</v>
      </c>
      <c r="E56" s="8" t="s">
        <v>479</v>
      </c>
      <c r="F56" s="4" t="s">
        <v>449</v>
      </c>
      <c r="G56" s="8"/>
      <c r="H56" s="8">
        <v>2</v>
      </c>
      <c r="I56" s="8" t="s">
        <v>396</v>
      </c>
      <c r="J56" s="8" t="s">
        <v>397</v>
      </c>
      <c r="K56" s="8" t="s">
        <v>407</v>
      </c>
      <c r="L56" s="8"/>
      <c r="M56" s="8"/>
      <c r="N56" s="8">
        <v>100</v>
      </c>
      <c r="O56" s="8"/>
      <c r="P56" s="63" t="s">
        <v>436</v>
      </c>
      <c r="Q56" s="14" t="s">
        <v>483</v>
      </c>
      <c r="R56" s="8"/>
      <c r="S56" s="8"/>
      <c r="T56" s="8"/>
      <c r="U56" s="8"/>
      <c r="V56" s="8"/>
      <c r="W56" s="8" t="s">
        <v>487</v>
      </c>
      <c r="X56" s="8"/>
      <c r="AD56" s="34">
        <f t="shared" si="0"/>
        <v>131390</v>
      </c>
      <c r="AE56">
        <f t="shared" si="1"/>
        <v>0</v>
      </c>
    </row>
    <row r="57" spans="1:31" ht="60" x14ac:dyDescent="0.25">
      <c r="A57" s="8">
        <v>131391</v>
      </c>
      <c r="B57" s="8" t="s">
        <v>491</v>
      </c>
      <c r="C57" s="8"/>
      <c r="D57" s="8">
        <v>272353</v>
      </c>
      <c r="E57" s="8" t="s">
        <v>479</v>
      </c>
      <c r="F57" s="4" t="s">
        <v>492</v>
      </c>
      <c r="G57" s="8"/>
      <c r="H57" s="8">
        <v>2</v>
      </c>
      <c r="I57" s="8" t="s">
        <v>396</v>
      </c>
      <c r="J57" s="8" t="s">
        <v>397</v>
      </c>
      <c r="K57" s="8" t="s">
        <v>466</v>
      </c>
      <c r="L57" s="8"/>
      <c r="M57" s="8"/>
      <c r="N57" s="8">
        <v>200</v>
      </c>
      <c r="O57" s="8"/>
      <c r="P57" s="63" t="s">
        <v>436</v>
      </c>
      <c r="Q57" s="14" t="s">
        <v>483</v>
      </c>
      <c r="R57" s="8"/>
      <c r="S57" s="8"/>
      <c r="T57" s="8"/>
      <c r="U57" s="8"/>
      <c r="V57" s="8"/>
      <c r="W57" s="8" t="s">
        <v>17</v>
      </c>
      <c r="X57" s="8"/>
      <c r="AD57" s="34">
        <f t="shared" si="0"/>
        <v>131391</v>
      </c>
      <c r="AE57">
        <f t="shared" si="1"/>
        <v>0</v>
      </c>
    </row>
    <row r="58" spans="1:31" ht="30" x14ac:dyDescent="0.25">
      <c r="A58" s="63" t="s">
        <v>18</v>
      </c>
      <c r="B58" s="8" t="s">
        <v>493</v>
      </c>
      <c r="C58" s="8"/>
      <c r="D58" s="8" t="s">
        <v>393</v>
      </c>
      <c r="E58" s="8" t="s">
        <v>494</v>
      </c>
      <c r="F58" s="4" t="s">
        <v>449</v>
      </c>
      <c r="G58" s="8"/>
      <c r="H58" s="8">
        <v>1</v>
      </c>
      <c r="I58" s="8" t="s">
        <v>396</v>
      </c>
      <c r="J58" s="8" t="s">
        <v>397</v>
      </c>
      <c r="K58" s="8" t="s">
        <v>407</v>
      </c>
      <c r="L58" s="8"/>
      <c r="M58" s="8"/>
      <c r="N58" s="8">
        <v>100</v>
      </c>
      <c r="O58" s="8"/>
      <c r="P58" s="63" t="s">
        <v>436</v>
      </c>
      <c r="Q58" s="14" t="s">
        <v>483</v>
      </c>
      <c r="R58" s="8"/>
      <c r="S58" s="8"/>
      <c r="T58" s="8"/>
      <c r="U58" s="8"/>
      <c r="V58" s="8"/>
      <c r="W58" s="8" t="s">
        <v>17</v>
      </c>
      <c r="X58" s="8"/>
      <c r="AD58" s="34" t="str">
        <f t="shared" si="0"/>
        <v>090364</v>
      </c>
      <c r="AE58">
        <f t="shared" si="1"/>
        <v>0</v>
      </c>
    </row>
    <row r="59" spans="1:31" x14ac:dyDescent="0.25">
      <c r="A59" s="63" t="s">
        <v>39</v>
      </c>
      <c r="B59" s="8" t="s">
        <v>495</v>
      </c>
      <c r="C59" s="8"/>
      <c r="D59" s="8" t="s">
        <v>496</v>
      </c>
      <c r="E59" s="8" t="s">
        <v>494</v>
      </c>
      <c r="F59" s="4" t="s">
        <v>405</v>
      </c>
      <c r="G59" s="8"/>
      <c r="H59" s="8">
        <v>16</v>
      </c>
      <c r="I59" s="8" t="s">
        <v>396</v>
      </c>
      <c r="J59" s="8" t="s">
        <v>406</v>
      </c>
      <c r="K59" s="8" t="s">
        <v>466</v>
      </c>
      <c r="L59" s="8"/>
      <c r="M59" s="8"/>
      <c r="N59" s="8">
        <v>200</v>
      </c>
      <c r="O59" s="8"/>
      <c r="P59" s="63" t="s">
        <v>436</v>
      </c>
      <c r="Q59" s="14" t="s">
        <v>30</v>
      </c>
      <c r="R59" s="8"/>
      <c r="S59" s="8"/>
      <c r="T59" s="8"/>
      <c r="U59" s="8"/>
      <c r="V59" s="8"/>
      <c r="W59" s="8" t="s">
        <v>17</v>
      </c>
      <c r="X59" s="8"/>
      <c r="AD59" s="34" t="str">
        <f t="shared" si="0"/>
        <v>090361</v>
      </c>
      <c r="AE59">
        <f t="shared" si="1"/>
        <v>0</v>
      </c>
    </row>
    <row r="60" spans="1:31" ht="60" x14ac:dyDescent="0.25">
      <c r="A60" s="63" t="s">
        <v>37</v>
      </c>
      <c r="B60" s="8" t="s">
        <v>497</v>
      </c>
      <c r="C60" s="8"/>
      <c r="D60" s="8">
        <v>272349</v>
      </c>
      <c r="E60" s="8" t="s">
        <v>494</v>
      </c>
      <c r="F60" s="4" t="s">
        <v>492</v>
      </c>
      <c r="G60" s="8"/>
      <c r="H60" s="8">
        <v>4</v>
      </c>
      <c r="I60" s="8" t="s">
        <v>396</v>
      </c>
      <c r="J60" s="8" t="s">
        <v>397</v>
      </c>
      <c r="K60" s="8" t="s">
        <v>466</v>
      </c>
      <c r="L60" s="8"/>
      <c r="M60" s="8"/>
      <c r="N60" s="8">
        <v>200</v>
      </c>
      <c r="O60" s="8"/>
      <c r="P60" s="63" t="s">
        <v>436</v>
      </c>
      <c r="Q60" s="8" t="s">
        <v>483</v>
      </c>
      <c r="R60" s="8"/>
      <c r="S60" s="8"/>
      <c r="T60" s="8"/>
      <c r="U60" s="8"/>
      <c r="V60" s="8"/>
      <c r="W60" s="8" t="s">
        <v>17</v>
      </c>
      <c r="X60" s="8"/>
      <c r="AD60" s="34" t="str">
        <f t="shared" si="0"/>
        <v>090359</v>
      </c>
      <c r="AE60">
        <f t="shared" si="1"/>
        <v>0</v>
      </c>
    </row>
    <row r="61" spans="1:31" ht="60" x14ac:dyDescent="0.25">
      <c r="A61" s="63" t="s">
        <v>43</v>
      </c>
      <c r="B61" s="8" t="s">
        <v>498</v>
      </c>
      <c r="C61" s="8"/>
      <c r="D61" s="8">
        <v>272349</v>
      </c>
      <c r="E61" s="8" t="s">
        <v>494</v>
      </c>
      <c r="F61" s="4" t="s">
        <v>492</v>
      </c>
      <c r="G61" s="8"/>
      <c r="H61" s="8">
        <v>4</v>
      </c>
      <c r="I61" s="8" t="s">
        <v>396</v>
      </c>
      <c r="J61" s="8" t="s">
        <v>397</v>
      </c>
      <c r="K61" s="8" t="s">
        <v>466</v>
      </c>
      <c r="L61" s="8"/>
      <c r="M61" s="8"/>
      <c r="N61" s="8">
        <v>200</v>
      </c>
      <c r="O61" s="8"/>
      <c r="P61" s="63" t="s">
        <v>436</v>
      </c>
      <c r="Q61" s="8" t="s">
        <v>483</v>
      </c>
      <c r="R61" s="8"/>
      <c r="S61" s="8"/>
      <c r="T61" s="8"/>
      <c r="U61" s="8"/>
      <c r="V61" s="8"/>
      <c r="W61" s="8" t="s">
        <v>17</v>
      </c>
      <c r="X61" s="8"/>
      <c r="AD61" s="34" t="str">
        <f t="shared" si="0"/>
        <v>090362</v>
      </c>
      <c r="AE61">
        <f t="shared" si="1"/>
        <v>0</v>
      </c>
    </row>
    <row r="62" spans="1:31" ht="60" x14ac:dyDescent="0.25">
      <c r="A62" s="63" t="s">
        <v>45</v>
      </c>
      <c r="B62" s="8" t="s">
        <v>499</v>
      </c>
      <c r="C62" s="8"/>
      <c r="D62" s="8" t="s">
        <v>500</v>
      </c>
      <c r="E62" s="8" t="s">
        <v>494</v>
      </c>
      <c r="F62" s="4" t="s">
        <v>492</v>
      </c>
      <c r="G62" s="8"/>
      <c r="H62" s="8">
        <v>4</v>
      </c>
      <c r="I62" s="8" t="s">
        <v>396</v>
      </c>
      <c r="J62" s="8" t="s">
        <v>397</v>
      </c>
      <c r="K62" s="8" t="s">
        <v>466</v>
      </c>
      <c r="L62" s="8"/>
      <c r="M62" s="8"/>
      <c r="N62" s="8">
        <v>200</v>
      </c>
      <c r="O62" s="8"/>
      <c r="P62" s="63" t="s">
        <v>436</v>
      </c>
      <c r="Q62" s="8" t="s">
        <v>483</v>
      </c>
      <c r="R62" s="8"/>
      <c r="S62" s="8"/>
      <c r="T62" s="8"/>
      <c r="U62" s="8"/>
      <c r="V62" s="8"/>
      <c r="W62" s="8" t="s">
        <v>17</v>
      </c>
      <c r="X62" s="8"/>
      <c r="AD62" s="34" t="str">
        <f t="shared" si="0"/>
        <v>090363</v>
      </c>
      <c r="AE62">
        <f t="shared" si="1"/>
        <v>0</v>
      </c>
    </row>
    <row r="63" spans="1:31" ht="60" x14ac:dyDescent="0.25">
      <c r="A63" s="63" t="s">
        <v>47</v>
      </c>
      <c r="B63" s="8" t="s">
        <v>501</v>
      </c>
      <c r="C63" s="8"/>
      <c r="D63" s="8">
        <v>272349</v>
      </c>
      <c r="E63" s="8" t="s">
        <v>494</v>
      </c>
      <c r="F63" s="4" t="s">
        <v>492</v>
      </c>
      <c r="G63" s="8"/>
      <c r="H63" s="8">
        <v>4</v>
      </c>
      <c r="I63" s="8" t="s">
        <v>396</v>
      </c>
      <c r="J63" s="8" t="s">
        <v>397</v>
      </c>
      <c r="K63" s="8" t="s">
        <v>466</v>
      </c>
      <c r="L63" s="8"/>
      <c r="M63" s="8"/>
      <c r="N63" s="8">
        <v>200</v>
      </c>
      <c r="O63" s="8"/>
      <c r="P63" s="63" t="s">
        <v>436</v>
      </c>
      <c r="Q63" s="8" t="s">
        <v>483</v>
      </c>
      <c r="R63" s="8"/>
      <c r="S63" s="8"/>
      <c r="T63" s="8"/>
      <c r="U63" s="8"/>
      <c r="V63" s="8"/>
      <c r="W63" s="8" t="s">
        <v>17</v>
      </c>
      <c r="X63" s="8"/>
      <c r="AD63" s="34" t="str">
        <f t="shared" si="0"/>
        <v>090365</v>
      </c>
      <c r="AE63">
        <f t="shared" si="1"/>
        <v>0</v>
      </c>
    </row>
    <row r="64" spans="1:31" x14ac:dyDescent="0.25">
      <c r="A64" s="8">
        <v>131393</v>
      </c>
      <c r="B64" s="8" t="s">
        <v>243</v>
      </c>
      <c r="C64" s="8"/>
      <c r="D64" s="8" t="s">
        <v>502</v>
      </c>
      <c r="E64" s="8" t="s">
        <v>479</v>
      </c>
      <c r="F64" s="46" t="s">
        <v>462</v>
      </c>
      <c r="G64" s="8"/>
      <c r="H64" s="8">
        <v>2</v>
      </c>
      <c r="I64" s="8" t="s">
        <v>396</v>
      </c>
      <c r="J64" s="8" t="s">
        <v>465</v>
      </c>
      <c r="K64" s="8" t="s">
        <v>466</v>
      </c>
      <c r="L64" s="8"/>
      <c r="M64" s="8"/>
      <c r="N64" s="8">
        <v>200</v>
      </c>
      <c r="O64" s="8"/>
      <c r="P64" s="63" t="s">
        <v>436</v>
      </c>
      <c r="Q64" s="8"/>
      <c r="R64" s="8"/>
      <c r="S64" s="8"/>
      <c r="T64" s="8"/>
      <c r="U64" s="8"/>
      <c r="V64" s="8"/>
      <c r="W64" s="8" t="s">
        <v>240</v>
      </c>
      <c r="X64" s="8"/>
      <c r="AD64" s="34">
        <f t="shared" si="0"/>
        <v>131393</v>
      </c>
      <c r="AE64">
        <f t="shared" si="1"/>
        <v>0</v>
      </c>
    </row>
    <row r="65" spans="1:31" x14ac:dyDescent="0.25">
      <c r="A65" s="8">
        <v>131392</v>
      </c>
      <c r="B65" s="8" t="s">
        <v>247</v>
      </c>
      <c r="C65" s="8"/>
      <c r="D65" s="8" t="s">
        <v>473</v>
      </c>
      <c r="E65" s="8" t="s">
        <v>479</v>
      </c>
      <c r="F65" s="46" t="s">
        <v>462</v>
      </c>
      <c r="G65" s="8"/>
      <c r="H65" s="8">
        <v>2</v>
      </c>
      <c r="I65" s="8" t="s">
        <v>396</v>
      </c>
      <c r="J65" s="8" t="s">
        <v>465</v>
      </c>
      <c r="K65" s="8" t="s">
        <v>466</v>
      </c>
      <c r="L65" s="8"/>
      <c r="M65" s="8"/>
      <c r="N65" s="8">
        <v>200</v>
      </c>
      <c r="O65" s="8"/>
      <c r="P65" s="63" t="s">
        <v>436</v>
      </c>
      <c r="Q65" s="8"/>
      <c r="R65" s="8"/>
      <c r="S65" s="8"/>
      <c r="T65" s="8"/>
      <c r="U65" s="8"/>
      <c r="V65" s="8"/>
      <c r="W65" s="8" t="s">
        <v>240</v>
      </c>
      <c r="X65" s="8"/>
      <c r="AD65" s="34">
        <f t="shared" si="0"/>
        <v>131392</v>
      </c>
      <c r="AE65">
        <f t="shared" si="1"/>
        <v>0</v>
      </c>
    </row>
    <row r="66" spans="1:31" x14ac:dyDescent="0.25">
      <c r="A66" s="8">
        <v>131394</v>
      </c>
      <c r="B66" s="8" t="s">
        <v>250</v>
      </c>
      <c r="C66" s="8"/>
      <c r="D66" s="8" t="s">
        <v>503</v>
      </c>
      <c r="E66" s="8" t="s">
        <v>479</v>
      </c>
      <c r="F66" s="46" t="s">
        <v>462</v>
      </c>
      <c r="G66" s="8"/>
      <c r="H66" s="8">
        <v>1</v>
      </c>
      <c r="I66" s="8" t="s">
        <v>396</v>
      </c>
      <c r="J66" s="8" t="s">
        <v>465</v>
      </c>
      <c r="K66" s="8" t="s">
        <v>466</v>
      </c>
      <c r="L66" s="8"/>
      <c r="M66" s="8"/>
      <c r="N66" s="8">
        <v>200</v>
      </c>
      <c r="O66" s="8"/>
      <c r="P66" s="63" t="s">
        <v>436</v>
      </c>
      <c r="Q66" s="8"/>
      <c r="R66" s="8"/>
      <c r="S66" s="8"/>
      <c r="T66" s="8"/>
      <c r="U66" s="8"/>
      <c r="V66" s="8"/>
      <c r="W66" s="8" t="s">
        <v>240</v>
      </c>
      <c r="X66" s="8"/>
      <c r="AD66" s="34">
        <f t="shared" si="0"/>
        <v>131394</v>
      </c>
      <c r="AE66">
        <f t="shared" si="1"/>
        <v>0</v>
      </c>
    </row>
    <row r="67" spans="1:31" x14ac:dyDescent="0.25">
      <c r="A67" s="8">
        <v>131395</v>
      </c>
      <c r="B67" s="8" t="s">
        <v>253</v>
      </c>
      <c r="C67" s="8"/>
      <c r="D67" s="8" t="s">
        <v>502</v>
      </c>
      <c r="E67" s="8" t="s">
        <v>479</v>
      </c>
      <c r="F67" s="46" t="s">
        <v>462</v>
      </c>
      <c r="G67" s="8"/>
      <c r="H67" s="8">
        <v>1</v>
      </c>
      <c r="I67" s="8" t="s">
        <v>396</v>
      </c>
      <c r="J67" s="8" t="s">
        <v>465</v>
      </c>
      <c r="K67" s="8" t="s">
        <v>466</v>
      </c>
      <c r="L67" s="8"/>
      <c r="M67" s="8"/>
      <c r="N67" s="8">
        <v>200</v>
      </c>
      <c r="O67" s="8"/>
      <c r="P67" s="63" t="s">
        <v>436</v>
      </c>
      <c r="Q67" s="8"/>
      <c r="R67" s="8"/>
      <c r="S67" s="8"/>
      <c r="T67" s="8"/>
      <c r="U67" s="8"/>
      <c r="V67" s="8"/>
      <c r="W67" s="8" t="s">
        <v>240</v>
      </c>
      <c r="X67" s="8"/>
      <c r="AD67" s="34">
        <f t="shared" ref="AD67:AD119" si="2">+A67</f>
        <v>131395</v>
      </c>
      <c r="AE67">
        <f t="shared" ref="AE67:AE119" si="3">+Z67</f>
        <v>0</v>
      </c>
    </row>
    <row r="68" spans="1:31" ht="30" x14ac:dyDescent="0.25">
      <c r="A68" s="63">
        <v>111459</v>
      </c>
      <c r="B68" s="8" t="s">
        <v>504</v>
      </c>
      <c r="C68" s="8"/>
      <c r="D68" s="8">
        <v>272343</v>
      </c>
      <c r="E68" s="8" t="s">
        <v>469</v>
      </c>
      <c r="F68" s="4" t="s">
        <v>449</v>
      </c>
      <c r="G68" s="8"/>
      <c r="H68" s="8">
        <v>2</v>
      </c>
      <c r="I68" s="8" t="s">
        <v>396</v>
      </c>
      <c r="J68" s="8" t="s">
        <v>397</v>
      </c>
      <c r="K68" s="8" t="s">
        <v>466</v>
      </c>
      <c r="L68" s="8"/>
      <c r="M68" s="8"/>
      <c r="N68" s="8">
        <v>200</v>
      </c>
      <c r="O68" s="8"/>
      <c r="P68" s="63" t="s">
        <v>436</v>
      </c>
      <c r="Q68" s="8" t="s">
        <v>77</v>
      </c>
      <c r="R68" s="8"/>
      <c r="S68" s="8"/>
      <c r="T68" s="8"/>
      <c r="U68" s="8"/>
      <c r="V68" s="8"/>
      <c r="W68" s="8" t="s">
        <v>74</v>
      </c>
      <c r="X68" s="8"/>
      <c r="AD68" s="34">
        <f t="shared" si="2"/>
        <v>111459</v>
      </c>
      <c r="AE68">
        <f t="shared" si="3"/>
        <v>0</v>
      </c>
    </row>
    <row r="69" spans="1:31" ht="30" x14ac:dyDescent="0.25">
      <c r="A69" s="8">
        <v>111460</v>
      </c>
      <c r="B69" s="8" t="s">
        <v>505</v>
      </c>
      <c r="C69" s="8"/>
      <c r="D69" s="8" t="s">
        <v>503</v>
      </c>
      <c r="E69" s="8" t="s">
        <v>469</v>
      </c>
      <c r="F69" s="4" t="s">
        <v>449</v>
      </c>
      <c r="G69" s="8"/>
      <c r="H69" s="8">
        <v>1</v>
      </c>
      <c r="I69" s="8" t="s">
        <v>396</v>
      </c>
      <c r="J69" s="8" t="s">
        <v>397</v>
      </c>
      <c r="K69" s="8" t="s">
        <v>466</v>
      </c>
      <c r="L69" s="8"/>
      <c r="M69" s="8"/>
      <c r="N69" s="8">
        <v>200</v>
      </c>
      <c r="O69" s="8"/>
      <c r="P69" s="63" t="s">
        <v>436</v>
      </c>
      <c r="Q69" s="8" t="s">
        <v>77</v>
      </c>
      <c r="R69" s="8"/>
      <c r="S69" s="8"/>
      <c r="T69" s="8"/>
      <c r="U69" s="8"/>
      <c r="V69" s="8"/>
      <c r="W69" s="8" t="s">
        <v>74</v>
      </c>
      <c r="X69" s="8"/>
      <c r="AD69" s="34">
        <f t="shared" si="2"/>
        <v>111460</v>
      </c>
      <c r="AE69">
        <f t="shared" si="3"/>
        <v>0</v>
      </c>
    </row>
    <row r="70" spans="1:31" ht="30" x14ac:dyDescent="0.25">
      <c r="A70" s="8">
        <v>111461</v>
      </c>
      <c r="B70" s="8" t="s">
        <v>506</v>
      </c>
      <c r="C70" s="8"/>
      <c r="D70" s="8" t="s">
        <v>502</v>
      </c>
      <c r="E70" s="8" t="s">
        <v>469</v>
      </c>
      <c r="F70" s="4" t="s">
        <v>449</v>
      </c>
      <c r="G70" s="8"/>
      <c r="H70" s="8">
        <v>1</v>
      </c>
      <c r="I70" s="8" t="s">
        <v>396</v>
      </c>
      <c r="J70" s="8" t="s">
        <v>397</v>
      </c>
      <c r="K70" s="8" t="s">
        <v>466</v>
      </c>
      <c r="L70" s="8"/>
      <c r="M70" s="8"/>
      <c r="N70" s="8">
        <v>200</v>
      </c>
      <c r="O70" s="8"/>
      <c r="P70" s="63" t="s">
        <v>436</v>
      </c>
      <c r="Q70" s="8" t="s">
        <v>77</v>
      </c>
      <c r="R70" s="8"/>
      <c r="S70" s="8"/>
      <c r="T70" s="8"/>
      <c r="U70" s="8"/>
      <c r="V70" s="8"/>
      <c r="W70" s="8" t="s">
        <v>74</v>
      </c>
      <c r="X70" s="8"/>
      <c r="AD70" s="34">
        <f t="shared" si="2"/>
        <v>111461</v>
      </c>
      <c r="AE70">
        <f t="shared" si="3"/>
        <v>0</v>
      </c>
    </row>
    <row r="71" spans="1:31" ht="30" x14ac:dyDescent="0.25">
      <c r="A71" s="8">
        <v>111462</v>
      </c>
      <c r="B71" s="8" t="s">
        <v>507</v>
      </c>
      <c r="C71" s="8"/>
      <c r="D71" s="8" t="s">
        <v>473</v>
      </c>
      <c r="E71" s="8" t="s">
        <v>469</v>
      </c>
      <c r="F71" s="4" t="s">
        <v>449</v>
      </c>
      <c r="G71" s="8"/>
      <c r="H71" s="8">
        <v>2</v>
      </c>
      <c r="I71" s="8" t="s">
        <v>396</v>
      </c>
      <c r="J71" s="8" t="s">
        <v>397</v>
      </c>
      <c r="K71" s="8" t="s">
        <v>466</v>
      </c>
      <c r="L71" s="8"/>
      <c r="M71" s="8"/>
      <c r="N71" s="8">
        <v>200</v>
      </c>
      <c r="O71" s="8"/>
      <c r="P71" s="63" t="s">
        <v>436</v>
      </c>
      <c r="Q71" s="8" t="s">
        <v>77</v>
      </c>
      <c r="R71" s="8"/>
      <c r="S71" s="8"/>
      <c r="T71" s="8"/>
      <c r="U71" s="8"/>
      <c r="V71" s="8"/>
      <c r="W71" s="8" t="s">
        <v>74</v>
      </c>
      <c r="X71" s="8"/>
      <c r="AD71" s="34">
        <f t="shared" si="2"/>
        <v>111462</v>
      </c>
      <c r="AE71">
        <f t="shared" si="3"/>
        <v>0</v>
      </c>
    </row>
    <row r="72" spans="1:31" ht="30" x14ac:dyDescent="0.25">
      <c r="A72" s="8">
        <v>111463</v>
      </c>
      <c r="B72" s="8" t="s">
        <v>508</v>
      </c>
      <c r="C72" s="8"/>
      <c r="D72" s="8" t="s">
        <v>473</v>
      </c>
      <c r="E72" s="8" t="s">
        <v>469</v>
      </c>
      <c r="F72" s="4" t="s">
        <v>449</v>
      </c>
      <c r="G72" s="8"/>
      <c r="H72" s="8">
        <v>4</v>
      </c>
      <c r="I72" s="8" t="s">
        <v>396</v>
      </c>
      <c r="J72" s="8" t="s">
        <v>397</v>
      </c>
      <c r="K72" s="8" t="s">
        <v>466</v>
      </c>
      <c r="L72" s="8"/>
      <c r="M72" s="8"/>
      <c r="N72" s="8">
        <v>200</v>
      </c>
      <c r="O72" s="8"/>
      <c r="P72" s="63" t="s">
        <v>436</v>
      </c>
      <c r="Q72" s="8" t="s">
        <v>77</v>
      </c>
      <c r="R72" s="8"/>
      <c r="S72" s="8"/>
      <c r="T72" s="8"/>
      <c r="U72" s="8"/>
      <c r="V72" s="8"/>
      <c r="W72" s="8" t="s">
        <v>74</v>
      </c>
      <c r="X72" s="8"/>
      <c r="AD72" s="34">
        <f t="shared" si="2"/>
        <v>111463</v>
      </c>
      <c r="AE72">
        <f t="shared" si="3"/>
        <v>0</v>
      </c>
    </row>
    <row r="73" spans="1:31" ht="30" x14ac:dyDescent="0.25">
      <c r="A73" s="8">
        <v>111464</v>
      </c>
      <c r="B73" s="8" t="s">
        <v>509</v>
      </c>
      <c r="C73" s="8"/>
      <c r="D73" s="8" t="s">
        <v>473</v>
      </c>
      <c r="E73" s="8" t="s">
        <v>469</v>
      </c>
      <c r="F73" s="4" t="s">
        <v>449</v>
      </c>
      <c r="G73" s="8"/>
      <c r="H73" s="8">
        <v>2</v>
      </c>
      <c r="I73" s="8" t="s">
        <v>396</v>
      </c>
      <c r="J73" s="8" t="s">
        <v>397</v>
      </c>
      <c r="K73" s="8" t="s">
        <v>466</v>
      </c>
      <c r="L73" s="8"/>
      <c r="M73" s="8"/>
      <c r="N73" s="8">
        <v>200</v>
      </c>
      <c r="O73" s="8"/>
      <c r="P73" s="63" t="s">
        <v>436</v>
      </c>
      <c r="Q73" s="8" t="s">
        <v>77</v>
      </c>
      <c r="R73" s="8"/>
      <c r="S73" s="8"/>
      <c r="T73" s="8"/>
      <c r="U73" s="8"/>
      <c r="V73" s="8"/>
      <c r="W73" s="8" t="s">
        <v>74</v>
      </c>
      <c r="X73" s="8"/>
      <c r="AD73" s="34">
        <f t="shared" si="2"/>
        <v>111464</v>
      </c>
      <c r="AE73">
        <f t="shared" si="3"/>
        <v>0</v>
      </c>
    </row>
    <row r="74" spans="1:31" ht="30" x14ac:dyDescent="0.25">
      <c r="A74" s="8">
        <v>111465</v>
      </c>
      <c r="B74" s="8" t="s">
        <v>510</v>
      </c>
      <c r="C74" s="8"/>
      <c r="D74" s="8" t="s">
        <v>393</v>
      </c>
      <c r="E74" s="8" t="s">
        <v>469</v>
      </c>
      <c r="F74" s="4" t="s">
        <v>449</v>
      </c>
      <c r="G74" s="8"/>
      <c r="H74" s="8">
        <v>6</v>
      </c>
      <c r="I74" s="8" t="s">
        <v>396</v>
      </c>
      <c r="J74" s="8" t="s">
        <v>397</v>
      </c>
      <c r="K74" s="8" t="s">
        <v>407</v>
      </c>
      <c r="L74" s="8"/>
      <c r="M74" s="8"/>
      <c r="N74" s="8">
        <v>100</v>
      </c>
      <c r="O74" s="8"/>
      <c r="P74" s="63" t="s">
        <v>436</v>
      </c>
      <c r="Q74" s="8" t="s">
        <v>91</v>
      </c>
      <c r="R74" s="8"/>
      <c r="S74" s="8"/>
      <c r="T74" s="8"/>
      <c r="U74" s="8"/>
      <c r="V74" s="8"/>
      <c r="W74" s="8" t="s">
        <v>74</v>
      </c>
      <c r="X74" s="8"/>
      <c r="AD74" s="34">
        <f t="shared" si="2"/>
        <v>111465</v>
      </c>
      <c r="AE74">
        <f t="shared" si="3"/>
        <v>0</v>
      </c>
    </row>
    <row r="75" spans="1:31" ht="30" x14ac:dyDescent="0.25">
      <c r="A75" s="8">
        <v>111466</v>
      </c>
      <c r="B75" s="8" t="s">
        <v>511</v>
      </c>
      <c r="C75" s="8"/>
      <c r="D75" s="8" t="s">
        <v>481</v>
      </c>
      <c r="E75" s="8" t="s">
        <v>469</v>
      </c>
      <c r="F75" s="4" t="s">
        <v>449</v>
      </c>
      <c r="G75" s="8"/>
      <c r="H75" s="8">
        <v>8</v>
      </c>
      <c r="I75" s="8" t="s">
        <v>396</v>
      </c>
      <c r="J75" s="8" t="s">
        <v>397</v>
      </c>
      <c r="K75" s="8" t="s">
        <v>466</v>
      </c>
      <c r="L75" s="8"/>
      <c r="M75" s="8"/>
      <c r="N75" s="8">
        <v>200</v>
      </c>
      <c r="O75" s="8"/>
      <c r="P75" s="63" t="s">
        <v>436</v>
      </c>
      <c r="Q75" s="8" t="s">
        <v>77</v>
      </c>
      <c r="R75" s="8"/>
      <c r="S75" s="8"/>
      <c r="T75" s="8"/>
      <c r="U75" s="8"/>
      <c r="V75" s="8"/>
      <c r="W75" s="8" t="s">
        <v>74</v>
      </c>
      <c r="X75" s="8"/>
      <c r="AD75" s="34">
        <f t="shared" si="2"/>
        <v>111466</v>
      </c>
      <c r="AE75">
        <f t="shared" si="3"/>
        <v>0</v>
      </c>
    </row>
    <row r="76" spans="1:31" x14ac:dyDescent="0.25">
      <c r="A76" s="8">
        <v>111467</v>
      </c>
      <c r="B76" s="8" t="s">
        <v>512</v>
      </c>
      <c r="C76" s="8"/>
      <c r="D76" s="8">
        <v>272357</v>
      </c>
      <c r="E76" s="8" t="s">
        <v>469</v>
      </c>
      <c r="F76" s="4" t="s">
        <v>405</v>
      </c>
      <c r="G76" s="8"/>
      <c r="H76" s="8">
        <v>32</v>
      </c>
      <c r="I76" s="8" t="s">
        <v>396</v>
      </c>
      <c r="J76" s="8" t="s">
        <v>397</v>
      </c>
      <c r="K76" s="8" t="s">
        <v>466</v>
      </c>
      <c r="L76" s="8"/>
      <c r="M76" s="8"/>
      <c r="N76" s="8">
        <v>200</v>
      </c>
      <c r="O76" s="8"/>
      <c r="P76" s="63" t="s">
        <v>436</v>
      </c>
      <c r="Q76" s="8" t="s">
        <v>91</v>
      </c>
      <c r="R76" s="8"/>
      <c r="S76" s="8"/>
      <c r="T76" s="8"/>
      <c r="U76" s="8"/>
      <c r="V76" s="8"/>
      <c r="W76" s="8" t="s">
        <v>74</v>
      </c>
      <c r="X76" s="8"/>
      <c r="AD76" s="34">
        <f t="shared" si="2"/>
        <v>111467</v>
      </c>
      <c r="AE76">
        <f t="shared" si="3"/>
        <v>0</v>
      </c>
    </row>
    <row r="77" spans="1:31" x14ac:dyDescent="0.25">
      <c r="A77" s="8">
        <v>111468</v>
      </c>
      <c r="B77" s="8" t="s">
        <v>513</v>
      </c>
      <c r="C77" s="8"/>
      <c r="D77" s="8" t="s">
        <v>393</v>
      </c>
      <c r="E77" s="8" t="s">
        <v>469</v>
      </c>
      <c r="F77" s="4" t="s">
        <v>405</v>
      </c>
      <c r="G77" s="8"/>
      <c r="H77" s="8">
        <v>2</v>
      </c>
      <c r="I77" s="8" t="s">
        <v>396</v>
      </c>
      <c r="J77" s="8" t="s">
        <v>514</v>
      </c>
      <c r="K77" s="8" t="s">
        <v>407</v>
      </c>
      <c r="L77" s="8"/>
      <c r="M77" s="8"/>
      <c r="N77" s="8">
        <v>100</v>
      </c>
      <c r="O77" s="8"/>
      <c r="P77" s="63" t="s">
        <v>436</v>
      </c>
      <c r="Q77" s="52" t="s">
        <v>515</v>
      </c>
      <c r="R77" s="8"/>
      <c r="S77" s="8"/>
      <c r="T77" s="8"/>
      <c r="U77" s="8"/>
      <c r="V77" s="8"/>
      <c r="W77" s="8" t="s">
        <v>74</v>
      </c>
      <c r="X77" s="8"/>
      <c r="AD77" s="34">
        <f t="shared" si="2"/>
        <v>111468</v>
      </c>
      <c r="AE77">
        <f t="shared" si="3"/>
        <v>0</v>
      </c>
    </row>
    <row r="78" spans="1:31" ht="60" x14ac:dyDescent="0.25">
      <c r="A78" s="8">
        <v>111469</v>
      </c>
      <c r="B78" s="8" t="s">
        <v>516</v>
      </c>
      <c r="C78" s="8"/>
      <c r="D78" s="8"/>
      <c r="E78" s="8" t="s">
        <v>469</v>
      </c>
      <c r="F78" s="4" t="s">
        <v>517</v>
      </c>
      <c r="G78" s="8"/>
      <c r="H78" s="8">
        <v>2</v>
      </c>
      <c r="I78" s="8" t="s">
        <v>396</v>
      </c>
      <c r="J78" s="8" t="s">
        <v>397</v>
      </c>
      <c r="K78" s="8" t="s">
        <v>466</v>
      </c>
      <c r="L78" s="8"/>
      <c r="M78" s="8"/>
      <c r="N78" s="8">
        <v>200</v>
      </c>
      <c r="O78" s="8"/>
      <c r="P78" s="63" t="s">
        <v>436</v>
      </c>
      <c r="Q78" s="8" t="s">
        <v>77</v>
      </c>
      <c r="R78" s="8"/>
      <c r="S78" s="8"/>
      <c r="T78" s="8"/>
      <c r="U78" s="8"/>
      <c r="V78" s="8"/>
      <c r="W78" s="8" t="s">
        <v>74</v>
      </c>
      <c r="X78" s="8"/>
      <c r="AD78" s="34">
        <f t="shared" si="2"/>
        <v>111469</v>
      </c>
      <c r="AE78">
        <f t="shared" si="3"/>
        <v>0</v>
      </c>
    </row>
    <row r="79" spans="1:31" ht="30" x14ac:dyDescent="0.25">
      <c r="A79" s="8">
        <v>111470</v>
      </c>
      <c r="B79" s="8" t="s">
        <v>518</v>
      </c>
      <c r="C79" s="8"/>
      <c r="D79" s="8" t="s">
        <v>473</v>
      </c>
      <c r="E79" s="8" t="s">
        <v>469</v>
      </c>
      <c r="F79" s="4" t="s">
        <v>449</v>
      </c>
      <c r="G79" s="8"/>
      <c r="H79" s="8">
        <v>2</v>
      </c>
      <c r="I79" s="8" t="s">
        <v>396</v>
      </c>
      <c r="J79" s="8" t="s">
        <v>397</v>
      </c>
      <c r="K79" s="8" t="s">
        <v>466</v>
      </c>
      <c r="L79" s="8"/>
      <c r="M79" s="8"/>
      <c r="N79" s="8">
        <v>200</v>
      </c>
      <c r="O79" s="8"/>
      <c r="P79" s="63" t="s">
        <v>436</v>
      </c>
      <c r="Q79" s="8" t="s">
        <v>77</v>
      </c>
      <c r="R79" s="8"/>
      <c r="S79" s="8"/>
      <c r="T79" s="8"/>
      <c r="U79" s="8"/>
      <c r="V79" s="8"/>
      <c r="W79" s="8" t="s">
        <v>74</v>
      </c>
      <c r="X79" s="8"/>
      <c r="AD79" s="34">
        <f t="shared" si="2"/>
        <v>111470</v>
      </c>
      <c r="AE79">
        <f t="shared" si="3"/>
        <v>0</v>
      </c>
    </row>
    <row r="80" spans="1:31" ht="30" x14ac:dyDescent="0.25">
      <c r="A80" s="8">
        <v>111471</v>
      </c>
      <c r="B80" s="8" t="s">
        <v>519</v>
      </c>
      <c r="C80" s="8"/>
      <c r="D80" s="8" t="s">
        <v>473</v>
      </c>
      <c r="E80" s="8" t="s">
        <v>469</v>
      </c>
      <c r="F80" s="4" t="s">
        <v>449</v>
      </c>
      <c r="G80" s="8"/>
      <c r="H80" s="8">
        <v>2</v>
      </c>
      <c r="I80" s="8" t="s">
        <v>396</v>
      </c>
      <c r="J80" s="8" t="s">
        <v>397</v>
      </c>
      <c r="K80" s="8" t="s">
        <v>466</v>
      </c>
      <c r="L80" s="8"/>
      <c r="M80" s="8"/>
      <c r="N80" s="8">
        <v>200</v>
      </c>
      <c r="O80" s="8"/>
      <c r="P80" s="63" t="s">
        <v>436</v>
      </c>
      <c r="Q80" s="8" t="s">
        <v>77</v>
      </c>
      <c r="R80" s="8"/>
      <c r="S80" s="8"/>
      <c r="T80" s="8"/>
      <c r="U80" s="8"/>
      <c r="V80" s="8"/>
      <c r="W80" s="8" t="s">
        <v>74</v>
      </c>
      <c r="X80" s="8"/>
      <c r="AD80" s="34">
        <f t="shared" si="2"/>
        <v>111471</v>
      </c>
      <c r="AE80">
        <f t="shared" si="3"/>
        <v>0</v>
      </c>
    </row>
    <row r="81" spans="1:31" ht="30" x14ac:dyDescent="0.25">
      <c r="A81" s="8">
        <v>111472</v>
      </c>
      <c r="B81" s="8" t="s">
        <v>520</v>
      </c>
      <c r="C81" s="8"/>
      <c r="D81" s="8" t="s">
        <v>393</v>
      </c>
      <c r="E81" s="8" t="s">
        <v>469</v>
      </c>
      <c r="F81" s="4" t="s">
        <v>449</v>
      </c>
      <c r="G81" s="8"/>
      <c r="H81" s="8">
        <v>1</v>
      </c>
      <c r="I81" s="8" t="s">
        <v>396</v>
      </c>
      <c r="J81" s="8" t="s">
        <v>397</v>
      </c>
      <c r="K81" s="8" t="s">
        <v>407</v>
      </c>
      <c r="L81" s="8"/>
      <c r="M81" s="8"/>
      <c r="N81" s="8">
        <v>100</v>
      </c>
      <c r="O81" s="8"/>
      <c r="P81" s="63" t="s">
        <v>436</v>
      </c>
      <c r="Q81" s="8" t="s">
        <v>77</v>
      </c>
      <c r="R81" s="8"/>
      <c r="S81" s="8"/>
      <c r="T81" s="8"/>
      <c r="U81" s="8"/>
      <c r="V81" s="8"/>
      <c r="W81" s="8" t="s">
        <v>74</v>
      </c>
      <c r="X81" s="8"/>
      <c r="AD81" s="34">
        <f t="shared" si="2"/>
        <v>111472</v>
      </c>
      <c r="AE81">
        <f t="shared" si="3"/>
        <v>0</v>
      </c>
    </row>
    <row r="82" spans="1:31" ht="30" x14ac:dyDescent="0.25">
      <c r="A82" s="8">
        <v>111473</v>
      </c>
      <c r="B82" s="8" t="s">
        <v>521</v>
      </c>
      <c r="C82" s="8"/>
      <c r="D82" s="8" t="s">
        <v>393</v>
      </c>
      <c r="E82" s="8" t="s">
        <v>469</v>
      </c>
      <c r="F82" s="4" t="s">
        <v>449</v>
      </c>
      <c r="G82" s="8"/>
      <c r="H82" s="8">
        <v>1</v>
      </c>
      <c r="I82" s="8" t="s">
        <v>396</v>
      </c>
      <c r="J82" s="8" t="s">
        <v>397</v>
      </c>
      <c r="K82" s="8" t="s">
        <v>407</v>
      </c>
      <c r="L82" s="8"/>
      <c r="M82" s="8"/>
      <c r="N82" s="8">
        <v>100</v>
      </c>
      <c r="O82" s="8"/>
      <c r="P82" s="63" t="s">
        <v>436</v>
      </c>
      <c r="Q82" s="8" t="s">
        <v>77</v>
      </c>
      <c r="R82" s="8"/>
      <c r="S82" s="8"/>
      <c r="T82" s="8"/>
      <c r="U82" s="8"/>
      <c r="V82" s="8"/>
      <c r="W82" s="8" t="s">
        <v>74</v>
      </c>
      <c r="X82" s="8"/>
      <c r="AD82" s="34">
        <f t="shared" si="2"/>
        <v>111473</v>
      </c>
      <c r="AE82">
        <f t="shared" si="3"/>
        <v>0</v>
      </c>
    </row>
    <row r="83" spans="1:31" ht="30" x14ac:dyDescent="0.25">
      <c r="A83" s="8">
        <v>111474</v>
      </c>
      <c r="B83" s="8" t="s">
        <v>522</v>
      </c>
      <c r="C83" s="8"/>
      <c r="D83" s="8" t="s">
        <v>393</v>
      </c>
      <c r="E83" s="8" t="s">
        <v>469</v>
      </c>
      <c r="F83" s="4" t="s">
        <v>449</v>
      </c>
      <c r="G83" s="8"/>
      <c r="H83" s="8">
        <v>1</v>
      </c>
      <c r="I83" s="8" t="s">
        <v>396</v>
      </c>
      <c r="J83" s="8" t="s">
        <v>397</v>
      </c>
      <c r="K83" s="8" t="s">
        <v>407</v>
      </c>
      <c r="L83" s="8"/>
      <c r="M83" s="8"/>
      <c r="N83" s="8">
        <v>100</v>
      </c>
      <c r="O83" s="8"/>
      <c r="P83" s="63" t="s">
        <v>436</v>
      </c>
      <c r="Q83" s="8" t="s">
        <v>77</v>
      </c>
      <c r="R83" s="8"/>
      <c r="S83" s="8"/>
      <c r="T83" s="8"/>
      <c r="U83" s="8"/>
      <c r="V83" s="8"/>
      <c r="W83" s="8" t="s">
        <v>74</v>
      </c>
      <c r="X83" s="8"/>
      <c r="AD83" s="34">
        <f t="shared" si="2"/>
        <v>111474</v>
      </c>
      <c r="AE83">
        <f t="shared" si="3"/>
        <v>0</v>
      </c>
    </row>
    <row r="84" spans="1:31" x14ac:dyDescent="0.25">
      <c r="A84" s="8">
        <v>101035</v>
      </c>
      <c r="B84" s="8" t="s">
        <v>523</v>
      </c>
      <c r="C84" s="8"/>
      <c r="D84" s="8">
        <v>272340</v>
      </c>
      <c r="E84" s="8" t="s">
        <v>524</v>
      </c>
      <c r="F84" s="4" t="s">
        <v>405</v>
      </c>
      <c r="G84" s="8"/>
      <c r="H84" s="8">
        <v>1</v>
      </c>
      <c r="I84" s="8" t="s">
        <v>396</v>
      </c>
      <c r="J84" s="8" t="s">
        <v>406</v>
      </c>
      <c r="K84" s="8" t="s">
        <v>466</v>
      </c>
      <c r="L84" s="8"/>
      <c r="M84" s="8"/>
      <c r="N84" s="8">
        <v>200</v>
      </c>
      <c r="O84" s="8"/>
      <c r="P84" s="63" t="s">
        <v>436</v>
      </c>
      <c r="Q84" s="14" t="s">
        <v>30</v>
      </c>
      <c r="R84" s="8"/>
      <c r="S84" s="8"/>
      <c r="T84" s="8"/>
      <c r="U84" s="8"/>
      <c r="V84" s="8"/>
      <c r="W84" s="8" t="s">
        <v>118</v>
      </c>
      <c r="X84" s="8"/>
      <c r="AD84" s="34">
        <f t="shared" si="2"/>
        <v>101035</v>
      </c>
      <c r="AE84">
        <f t="shared" si="3"/>
        <v>0</v>
      </c>
    </row>
    <row r="85" spans="1:31" x14ac:dyDescent="0.25">
      <c r="A85" s="8">
        <v>101034</v>
      </c>
      <c r="B85" s="8" t="s">
        <v>525</v>
      </c>
      <c r="C85" s="8"/>
      <c r="D85" s="8">
        <v>272340</v>
      </c>
      <c r="E85" s="8" t="s">
        <v>524</v>
      </c>
      <c r="F85" s="4" t="s">
        <v>405</v>
      </c>
      <c r="G85" s="8"/>
      <c r="H85" s="8">
        <v>1</v>
      </c>
      <c r="I85" s="8" t="s">
        <v>396</v>
      </c>
      <c r="J85" s="8" t="s">
        <v>406</v>
      </c>
      <c r="K85" s="8" t="s">
        <v>466</v>
      </c>
      <c r="L85" s="8"/>
      <c r="M85" s="8"/>
      <c r="N85" s="8">
        <v>200</v>
      </c>
      <c r="O85" s="8"/>
      <c r="P85" s="63" t="s">
        <v>436</v>
      </c>
      <c r="Q85" s="14" t="s">
        <v>30</v>
      </c>
      <c r="R85" s="8"/>
      <c r="S85" s="8"/>
      <c r="T85" s="8"/>
      <c r="U85" s="8"/>
      <c r="V85" s="8"/>
      <c r="W85" s="8" t="s">
        <v>118</v>
      </c>
      <c r="X85" s="8"/>
      <c r="AD85" s="34">
        <f t="shared" si="2"/>
        <v>101034</v>
      </c>
      <c r="AE85">
        <f t="shared" si="3"/>
        <v>0</v>
      </c>
    </row>
    <row r="86" spans="1:31" x14ac:dyDescent="0.25">
      <c r="A86" s="8">
        <v>101037</v>
      </c>
      <c r="B86" s="8" t="s">
        <v>526</v>
      </c>
      <c r="C86" s="8"/>
      <c r="D86" s="8">
        <v>272344</v>
      </c>
      <c r="E86" s="8" t="s">
        <v>524</v>
      </c>
      <c r="F86" s="4" t="s">
        <v>405</v>
      </c>
      <c r="G86" s="8"/>
      <c r="H86" s="8">
        <v>2</v>
      </c>
      <c r="I86" s="8" t="s">
        <v>396</v>
      </c>
      <c r="J86" s="8" t="s">
        <v>406</v>
      </c>
      <c r="K86" s="8" t="s">
        <v>466</v>
      </c>
      <c r="L86" s="8"/>
      <c r="M86" s="8"/>
      <c r="N86" s="8">
        <v>200</v>
      </c>
      <c r="O86" s="8"/>
      <c r="P86" s="63" t="s">
        <v>436</v>
      </c>
      <c r="Q86" s="14" t="s">
        <v>30</v>
      </c>
      <c r="R86" s="8"/>
      <c r="S86" s="8"/>
      <c r="T86" s="8"/>
      <c r="U86" s="8"/>
      <c r="V86" s="8"/>
      <c r="W86" s="8" t="s">
        <v>118</v>
      </c>
      <c r="X86" s="8"/>
      <c r="AD86" s="34">
        <f t="shared" si="2"/>
        <v>101037</v>
      </c>
      <c r="AE86">
        <f t="shared" si="3"/>
        <v>0</v>
      </c>
    </row>
    <row r="87" spans="1:31" x14ac:dyDescent="0.25">
      <c r="A87" s="8">
        <v>101040</v>
      </c>
      <c r="B87" s="8" t="s">
        <v>527</v>
      </c>
      <c r="C87" s="8"/>
      <c r="D87" s="8">
        <v>272343</v>
      </c>
      <c r="E87" s="8" t="s">
        <v>524</v>
      </c>
      <c r="F87" s="4" t="s">
        <v>405</v>
      </c>
      <c r="G87" s="8"/>
      <c r="H87" s="8">
        <v>1</v>
      </c>
      <c r="I87" s="8" t="s">
        <v>396</v>
      </c>
      <c r="J87" s="8" t="s">
        <v>406</v>
      </c>
      <c r="K87" s="8" t="s">
        <v>466</v>
      </c>
      <c r="L87" s="8"/>
      <c r="M87" s="8"/>
      <c r="N87" s="8">
        <v>200</v>
      </c>
      <c r="O87" s="8"/>
      <c r="P87" s="63" t="s">
        <v>436</v>
      </c>
      <c r="Q87" s="14" t="s">
        <v>30</v>
      </c>
      <c r="R87" s="8"/>
      <c r="S87" s="8"/>
      <c r="T87" s="8"/>
      <c r="U87" s="8"/>
      <c r="V87" s="8"/>
      <c r="W87" s="8" t="s">
        <v>118</v>
      </c>
      <c r="X87" s="8"/>
      <c r="AD87" s="34">
        <f t="shared" si="2"/>
        <v>101040</v>
      </c>
      <c r="AE87">
        <f t="shared" si="3"/>
        <v>0</v>
      </c>
    </row>
    <row r="88" spans="1:31" x14ac:dyDescent="0.25">
      <c r="A88" s="8">
        <v>101039</v>
      </c>
      <c r="B88" s="8" t="s">
        <v>528</v>
      </c>
      <c r="C88" s="8"/>
      <c r="D88" s="8">
        <v>272343</v>
      </c>
      <c r="E88" s="8" t="s">
        <v>524</v>
      </c>
      <c r="F88" s="4" t="s">
        <v>405</v>
      </c>
      <c r="G88" s="8"/>
      <c r="H88" s="8">
        <v>1</v>
      </c>
      <c r="I88" s="8" t="s">
        <v>396</v>
      </c>
      <c r="J88" s="8" t="s">
        <v>406</v>
      </c>
      <c r="K88" s="8" t="s">
        <v>466</v>
      </c>
      <c r="L88" s="8"/>
      <c r="M88" s="8"/>
      <c r="N88" s="8">
        <v>200</v>
      </c>
      <c r="O88" s="8"/>
      <c r="P88" s="63" t="s">
        <v>436</v>
      </c>
      <c r="Q88" s="14" t="s">
        <v>30</v>
      </c>
      <c r="R88" s="8"/>
      <c r="S88" s="8"/>
      <c r="T88" s="8"/>
      <c r="U88" s="8"/>
      <c r="V88" s="8"/>
      <c r="W88" s="8" t="s">
        <v>118</v>
      </c>
      <c r="X88" s="8"/>
      <c r="AD88" s="34">
        <f t="shared" si="2"/>
        <v>101039</v>
      </c>
      <c r="AE88">
        <f t="shared" si="3"/>
        <v>0</v>
      </c>
    </row>
    <row r="89" spans="1:31" x14ac:dyDescent="0.25">
      <c r="A89" s="8">
        <v>101036</v>
      </c>
      <c r="B89" s="8" t="s">
        <v>529</v>
      </c>
      <c r="C89" s="8"/>
      <c r="D89" s="8">
        <v>272344</v>
      </c>
      <c r="E89" s="8" t="s">
        <v>524</v>
      </c>
      <c r="F89" s="4" t="s">
        <v>405</v>
      </c>
      <c r="G89" s="8"/>
      <c r="H89" s="8">
        <v>2</v>
      </c>
      <c r="I89" s="8" t="s">
        <v>396</v>
      </c>
      <c r="J89" s="8" t="s">
        <v>406</v>
      </c>
      <c r="K89" s="8" t="s">
        <v>466</v>
      </c>
      <c r="L89" s="8"/>
      <c r="M89" s="8"/>
      <c r="N89" s="8">
        <v>200</v>
      </c>
      <c r="O89" s="8"/>
      <c r="P89" s="63" t="s">
        <v>436</v>
      </c>
      <c r="Q89" s="14" t="s">
        <v>30</v>
      </c>
      <c r="R89" s="8"/>
      <c r="S89" s="8"/>
      <c r="T89" s="8"/>
      <c r="U89" s="8"/>
      <c r="V89" s="8"/>
      <c r="W89" s="8" t="s">
        <v>118</v>
      </c>
      <c r="X89" s="8"/>
      <c r="AD89" s="34">
        <f t="shared" si="2"/>
        <v>101036</v>
      </c>
      <c r="AE89">
        <f t="shared" si="3"/>
        <v>0</v>
      </c>
    </row>
    <row r="90" spans="1:31" x14ac:dyDescent="0.25">
      <c r="A90" s="8">
        <v>101038</v>
      </c>
      <c r="B90" s="8" t="s">
        <v>530</v>
      </c>
      <c r="C90" s="8"/>
      <c r="D90" s="8">
        <v>272346</v>
      </c>
      <c r="E90" s="8" t="s">
        <v>524</v>
      </c>
      <c r="F90" s="4" t="s">
        <v>405</v>
      </c>
      <c r="G90" s="8"/>
      <c r="H90" s="8">
        <v>2</v>
      </c>
      <c r="I90" s="8" t="s">
        <v>396</v>
      </c>
      <c r="J90" s="8" t="s">
        <v>406</v>
      </c>
      <c r="K90" s="8" t="s">
        <v>466</v>
      </c>
      <c r="L90" s="8"/>
      <c r="M90" s="8"/>
      <c r="N90" s="8">
        <v>200</v>
      </c>
      <c r="O90" s="8"/>
      <c r="P90" s="63" t="s">
        <v>436</v>
      </c>
      <c r="Q90" s="14" t="s">
        <v>30</v>
      </c>
      <c r="R90" s="8"/>
      <c r="S90" s="8"/>
      <c r="T90" s="8"/>
      <c r="U90" s="8"/>
      <c r="V90" s="8"/>
      <c r="W90" s="8" t="s">
        <v>118</v>
      </c>
      <c r="X90" s="8"/>
      <c r="AD90" s="34">
        <f t="shared" si="2"/>
        <v>101038</v>
      </c>
      <c r="AE90">
        <f t="shared" si="3"/>
        <v>0</v>
      </c>
    </row>
    <row r="91" spans="1:31" x14ac:dyDescent="0.25">
      <c r="A91" s="8">
        <v>101031</v>
      </c>
      <c r="B91" s="8" t="s">
        <v>531</v>
      </c>
      <c r="C91" s="8"/>
      <c r="D91" s="8">
        <v>272343</v>
      </c>
      <c r="E91" s="8" t="s">
        <v>524</v>
      </c>
      <c r="F91" s="46" t="s">
        <v>462</v>
      </c>
      <c r="G91" s="8"/>
      <c r="H91" s="8">
        <v>2</v>
      </c>
      <c r="I91" s="8" t="s">
        <v>396</v>
      </c>
      <c r="J91" s="8" t="s">
        <v>406</v>
      </c>
      <c r="K91" s="8" t="s">
        <v>466</v>
      </c>
      <c r="L91" s="8"/>
      <c r="M91" s="8"/>
      <c r="N91" s="8">
        <v>200</v>
      </c>
      <c r="O91" s="8"/>
      <c r="P91" s="63" t="s">
        <v>436</v>
      </c>
      <c r="Q91" s="14" t="s">
        <v>30</v>
      </c>
      <c r="R91" s="8"/>
      <c r="S91" s="8"/>
      <c r="T91" s="8"/>
      <c r="U91" s="8"/>
      <c r="V91" s="8"/>
      <c r="W91" s="8" t="s">
        <v>118</v>
      </c>
      <c r="X91" s="8"/>
      <c r="AD91" s="34">
        <f t="shared" si="2"/>
        <v>101031</v>
      </c>
      <c r="AE91">
        <f t="shared" si="3"/>
        <v>0</v>
      </c>
    </row>
    <row r="92" spans="1:31" x14ac:dyDescent="0.25">
      <c r="A92" s="8">
        <v>101033</v>
      </c>
      <c r="B92" s="8" t="s">
        <v>532</v>
      </c>
      <c r="C92" s="8"/>
      <c r="D92" s="8">
        <v>272344</v>
      </c>
      <c r="E92" s="8" t="s">
        <v>524</v>
      </c>
      <c r="F92" s="4" t="s">
        <v>405</v>
      </c>
      <c r="G92" s="8"/>
      <c r="H92" s="8">
        <v>1</v>
      </c>
      <c r="I92" s="8" t="s">
        <v>396</v>
      </c>
      <c r="J92" s="52" t="s">
        <v>406</v>
      </c>
      <c r="K92" s="8" t="s">
        <v>466</v>
      </c>
      <c r="L92" s="8"/>
      <c r="M92" s="8"/>
      <c r="N92" s="8">
        <v>200</v>
      </c>
      <c r="O92" s="8"/>
      <c r="P92" s="63" t="s">
        <v>436</v>
      </c>
      <c r="Q92" s="70" t="s">
        <v>30</v>
      </c>
      <c r="R92" s="8"/>
      <c r="S92" s="8"/>
      <c r="T92" s="8"/>
      <c r="U92" s="8"/>
      <c r="V92" s="8"/>
      <c r="W92" s="8" t="s">
        <v>118</v>
      </c>
      <c r="X92" s="8"/>
      <c r="AD92" s="34">
        <f t="shared" si="2"/>
        <v>101033</v>
      </c>
      <c r="AE92">
        <f t="shared" si="3"/>
        <v>0</v>
      </c>
    </row>
    <row r="93" spans="1:31" x14ac:dyDescent="0.25">
      <c r="A93" s="8">
        <v>101032</v>
      </c>
      <c r="B93" s="8" t="s">
        <v>533</v>
      </c>
      <c r="C93" s="8"/>
      <c r="D93" s="8">
        <v>272344</v>
      </c>
      <c r="E93" s="8" t="s">
        <v>524</v>
      </c>
      <c r="F93" s="4" t="s">
        <v>405</v>
      </c>
      <c r="G93" s="8"/>
      <c r="H93" s="8">
        <v>1</v>
      </c>
      <c r="I93" s="8" t="s">
        <v>396</v>
      </c>
      <c r="J93" s="52" t="s">
        <v>406</v>
      </c>
      <c r="K93" s="8" t="s">
        <v>466</v>
      </c>
      <c r="L93" s="8"/>
      <c r="M93" s="8"/>
      <c r="N93" s="8">
        <v>200</v>
      </c>
      <c r="O93" s="8"/>
      <c r="P93" s="63" t="s">
        <v>436</v>
      </c>
      <c r="Q93" s="70" t="s">
        <v>30</v>
      </c>
      <c r="R93" s="8"/>
      <c r="S93" s="8"/>
      <c r="T93" s="8"/>
      <c r="U93" s="8"/>
      <c r="V93" s="8"/>
      <c r="W93" s="8" t="s">
        <v>118</v>
      </c>
      <c r="X93" s="8"/>
      <c r="AD93" s="34">
        <f t="shared" si="2"/>
        <v>101032</v>
      </c>
      <c r="AE93">
        <f t="shared" si="3"/>
        <v>0</v>
      </c>
    </row>
    <row r="94" spans="1:31" x14ac:dyDescent="0.25">
      <c r="A94" s="8">
        <v>101041</v>
      </c>
      <c r="B94" s="8" t="s">
        <v>534</v>
      </c>
      <c r="C94" s="8"/>
      <c r="D94" s="8">
        <v>272343</v>
      </c>
      <c r="E94" s="8" t="s">
        <v>524</v>
      </c>
      <c r="F94" s="4" t="s">
        <v>405</v>
      </c>
      <c r="G94" s="8"/>
      <c r="H94" s="8">
        <v>1</v>
      </c>
      <c r="I94" s="8" t="s">
        <v>396</v>
      </c>
      <c r="J94" s="8" t="s">
        <v>406</v>
      </c>
      <c r="K94" s="8" t="s">
        <v>466</v>
      </c>
      <c r="L94" s="8"/>
      <c r="M94" s="8"/>
      <c r="N94" s="8">
        <v>200</v>
      </c>
      <c r="O94" s="8"/>
      <c r="P94" s="63" t="s">
        <v>436</v>
      </c>
      <c r="Q94" s="14" t="s">
        <v>30</v>
      </c>
      <c r="R94" s="8"/>
      <c r="S94" s="8"/>
      <c r="T94" s="8"/>
      <c r="U94" s="8"/>
      <c r="V94" s="8"/>
      <c r="W94" s="8" t="s">
        <v>118</v>
      </c>
      <c r="X94" s="8"/>
      <c r="AD94" s="34">
        <f t="shared" si="2"/>
        <v>101041</v>
      </c>
      <c r="AE94">
        <f t="shared" si="3"/>
        <v>0</v>
      </c>
    </row>
    <row r="95" spans="1:31" x14ac:dyDescent="0.25">
      <c r="A95" s="8">
        <v>101042</v>
      </c>
      <c r="B95" s="8" t="s">
        <v>535</v>
      </c>
      <c r="C95" s="8"/>
      <c r="D95" s="8">
        <v>272343</v>
      </c>
      <c r="E95" s="8" t="s">
        <v>524</v>
      </c>
      <c r="F95" s="4" t="s">
        <v>405</v>
      </c>
      <c r="G95" s="8"/>
      <c r="H95" s="8">
        <v>1</v>
      </c>
      <c r="I95" s="8" t="s">
        <v>396</v>
      </c>
      <c r="J95" s="8" t="s">
        <v>406</v>
      </c>
      <c r="K95" s="8" t="s">
        <v>466</v>
      </c>
      <c r="L95" s="8"/>
      <c r="M95" s="8"/>
      <c r="N95" s="8">
        <v>200</v>
      </c>
      <c r="O95" s="8"/>
      <c r="P95" s="63" t="s">
        <v>436</v>
      </c>
      <c r="Q95" s="14" t="s">
        <v>30</v>
      </c>
      <c r="R95" s="8"/>
      <c r="S95" s="8"/>
      <c r="T95" s="8"/>
      <c r="U95" s="8"/>
      <c r="V95" s="8"/>
      <c r="W95" s="8" t="s">
        <v>118</v>
      </c>
      <c r="X95" s="8"/>
      <c r="AD95" s="34">
        <f t="shared" si="2"/>
        <v>101042</v>
      </c>
      <c r="AE95">
        <f t="shared" si="3"/>
        <v>0</v>
      </c>
    </row>
    <row r="96" spans="1:31" ht="30" x14ac:dyDescent="0.25">
      <c r="A96" s="8">
        <v>122235</v>
      </c>
      <c r="B96" s="8" t="s">
        <v>303</v>
      </c>
      <c r="C96" s="8"/>
      <c r="D96" s="8">
        <v>272343</v>
      </c>
      <c r="E96" s="8" t="s">
        <v>478</v>
      </c>
      <c r="F96" s="4" t="s">
        <v>449</v>
      </c>
      <c r="G96" s="8"/>
      <c r="H96" s="8">
        <v>2</v>
      </c>
      <c r="I96" s="8" t="s">
        <v>396</v>
      </c>
      <c r="J96" s="8" t="s">
        <v>397</v>
      </c>
      <c r="K96" s="8" t="s">
        <v>466</v>
      </c>
      <c r="L96" s="8"/>
      <c r="M96" s="8"/>
      <c r="N96" s="8">
        <v>200</v>
      </c>
      <c r="O96" s="8"/>
      <c r="P96" s="63" t="s">
        <v>436</v>
      </c>
      <c r="Q96" s="14" t="s">
        <v>285</v>
      </c>
      <c r="R96" s="8"/>
      <c r="S96" s="8"/>
      <c r="T96" s="8"/>
      <c r="U96" s="8"/>
      <c r="V96" s="8"/>
      <c r="W96" s="8" t="s">
        <v>281</v>
      </c>
      <c r="X96" s="8"/>
      <c r="AD96" s="34">
        <f t="shared" si="2"/>
        <v>122235</v>
      </c>
      <c r="AE96">
        <f t="shared" si="3"/>
        <v>0</v>
      </c>
    </row>
    <row r="97" spans="1:31" x14ac:dyDescent="0.25">
      <c r="A97" s="8">
        <v>122236</v>
      </c>
      <c r="B97" s="8" t="s">
        <v>306</v>
      </c>
      <c r="C97" s="8"/>
      <c r="D97" s="8">
        <v>272354</v>
      </c>
      <c r="E97" s="8" t="s">
        <v>478</v>
      </c>
      <c r="F97" s="4" t="s">
        <v>405</v>
      </c>
      <c r="G97" s="8"/>
      <c r="H97" s="8">
        <v>2</v>
      </c>
      <c r="I97" s="8" t="s">
        <v>396</v>
      </c>
      <c r="J97" s="8" t="s">
        <v>406</v>
      </c>
      <c r="K97" s="8" t="s">
        <v>466</v>
      </c>
      <c r="L97" s="8"/>
      <c r="M97" s="8"/>
      <c r="N97" s="8">
        <v>200</v>
      </c>
      <c r="O97" s="8"/>
      <c r="P97" s="63" t="s">
        <v>436</v>
      </c>
      <c r="Q97" s="14" t="s">
        <v>30</v>
      </c>
      <c r="R97" s="8"/>
      <c r="S97" s="8"/>
      <c r="T97" s="8"/>
      <c r="U97" s="8"/>
      <c r="V97" s="8"/>
      <c r="W97" s="8" t="s">
        <v>281</v>
      </c>
      <c r="X97" s="8"/>
      <c r="AD97" s="34">
        <f t="shared" si="2"/>
        <v>122236</v>
      </c>
      <c r="AE97">
        <f t="shared" si="3"/>
        <v>0</v>
      </c>
    </row>
    <row r="98" spans="1:31" ht="30" x14ac:dyDescent="0.25">
      <c r="A98" s="8">
        <v>122238</v>
      </c>
      <c r="B98" s="8" t="s">
        <v>309</v>
      </c>
      <c r="C98" s="8"/>
      <c r="D98" s="8">
        <v>272400</v>
      </c>
      <c r="E98" s="8" t="s">
        <v>478</v>
      </c>
      <c r="F98" s="4" t="s">
        <v>449</v>
      </c>
      <c r="G98" s="8"/>
      <c r="H98" s="8">
        <v>2</v>
      </c>
      <c r="I98" s="8" t="s">
        <v>396</v>
      </c>
      <c r="J98" s="8" t="s">
        <v>397</v>
      </c>
      <c r="K98" s="8" t="s">
        <v>466</v>
      </c>
      <c r="L98" s="8"/>
      <c r="M98" s="8"/>
      <c r="N98" s="8">
        <v>200</v>
      </c>
      <c r="O98" s="8"/>
      <c r="P98" s="63" t="s">
        <v>436</v>
      </c>
      <c r="Q98" s="14" t="s">
        <v>53</v>
      </c>
      <c r="R98" s="8"/>
      <c r="S98" s="8"/>
      <c r="T98" s="8"/>
      <c r="U98" s="8"/>
      <c r="V98" s="8"/>
      <c r="W98" s="8" t="s">
        <v>281</v>
      </c>
      <c r="X98" s="8"/>
      <c r="AD98" s="34">
        <f t="shared" si="2"/>
        <v>122238</v>
      </c>
      <c r="AE98">
        <f t="shared" si="3"/>
        <v>0</v>
      </c>
    </row>
    <row r="99" spans="1:31" x14ac:dyDescent="0.25">
      <c r="A99" s="8">
        <v>122239</v>
      </c>
      <c r="B99" s="8" t="s">
        <v>312</v>
      </c>
      <c r="C99" s="8"/>
      <c r="D99" s="8" t="s">
        <v>393</v>
      </c>
      <c r="E99" s="8" t="s">
        <v>478</v>
      </c>
      <c r="F99" s="46" t="s">
        <v>462</v>
      </c>
      <c r="G99" s="8"/>
      <c r="H99" s="8">
        <v>1</v>
      </c>
      <c r="I99" s="8" t="s">
        <v>396</v>
      </c>
      <c r="J99" s="8" t="s">
        <v>397</v>
      </c>
      <c r="K99" s="8" t="s">
        <v>407</v>
      </c>
      <c r="L99" s="8"/>
      <c r="M99" s="8"/>
      <c r="N99" s="8">
        <v>100</v>
      </c>
      <c r="O99" s="8"/>
      <c r="P99" s="63" t="s">
        <v>436</v>
      </c>
      <c r="Q99" s="14" t="s">
        <v>285</v>
      </c>
      <c r="R99" s="8"/>
      <c r="S99" s="8"/>
      <c r="T99" s="8"/>
      <c r="U99" s="8"/>
      <c r="V99" s="8"/>
      <c r="W99" s="8" t="s">
        <v>281</v>
      </c>
      <c r="X99" s="8"/>
      <c r="AD99" s="34">
        <f t="shared" si="2"/>
        <v>122239</v>
      </c>
      <c r="AE99">
        <f t="shared" si="3"/>
        <v>0</v>
      </c>
    </row>
    <row r="100" spans="1:31" x14ac:dyDescent="0.25">
      <c r="A100" s="8">
        <v>122241</v>
      </c>
      <c r="B100" s="8" t="s">
        <v>315</v>
      </c>
      <c r="C100" s="8"/>
      <c r="D100" s="8">
        <v>272352</v>
      </c>
      <c r="E100" s="8" t="s">
        <v>478</v>
      </c>
      <c r="F100" s="4" t="s">
        <v>405</v>
      </c>
      <c r="G100" s="8"/>
      <c r="H100" s="8">
        <v>2</v>
      </c>
      <c r="I100" s="8" t="s">
        <v>396</v>
      </c>
      <c r="J100" s="8" t="s">
        <v>406</v>
      </c>
      <c r="K100" s="8" t="s">
        <v>466</v>
      </c>
      <c r="L100" s="8"/>
      <c r="M100" s="8"/>
      <c r="N100" s="8">
        <v>200</v>
      </c>
      <c r="O100" s="8"/>
      <c r="P100" s="63" t="s">
        <v>436</v>
      </c>
      <c r="Q100" s="14" t="s">
        <v>30</v>
      </c>
      <c r="R100" s="8"/>
      <c r="S100" s="8"/>
      <c r="T100" s="8"/>
      <c r="U100" s="8"/>
      <c r="V100" s="8"/>
      <c r="W100" s="8" t="s">
        <v>281</v>
      </c>
      <c r="X100" s="8"/>
      <c r="AD100" s="34">
        <f t="shared" si="2"/>
        <v>122241</v>
      </c>
      <c r="AE100">
        <f t="shared" si="3"/>
        <v>0</v>
      </c>
    </row>
    <row r="101" spans="1:31" x14ac:dyDescent="0.25">
      <c r="A101" s="8">
        <v>122242</v>
      </c>
      <c r="B101" s="8" t="s">
        <v>318</v>
      </c>
      <c r="C101" s="8"/>
      <c r="D101" s="8">
        <v>272351</v>
      </c>
      <c r="E101" s="8" t="s">
        <v>478</v>
      </c>
      <c r="F101" s="4" t="s">
        <v>405</v>
      </c>
      <c r="G101" s="8"/>
      <c r="H101" s="8">
        <v>2</v>
      </c>
      <c r="I101" s="8" t="s">
        <v>396</v>
      </c>
      <c r="J101" s="8" t="s">
        <v>406</v>
      </c>
      <c r="K101" s="8" t="s">
        <v>466</v>
      </c>
      <c r="L101" s="8"/>
      <c r="M101" s="8"/>
      <c r="N101" s="8">
        <v>200</v>
      </c>
      <c r="O101" s="8"/>
      <c r="P101" s="63" t="s">
        <v>436</v>
      </c>
      <c r="Q101" s="14" t="s">
        <v>30</v>
      </c>
      <c r="R101" s="8"/>
      <c r="S101" s="8"/>
      <c r="T101" s="8"/>
      <c r="U101" s="8"/>
      <c r="V101" s="8"/>
      <c r="W101" s="8" t="s">
        <v>281</v>
      </c>
      <c r="X101" s="8"/>
      <c r="AD101" s="34">
        <f t="shared" si="2"/>
        <v>122242</v>
      </c>
      <c r="AE101">
        <f t="shared" si="3"/>
        <v>0</v>
      </c>
    </row>
    <row r="102" spans="1:31" x14ac:dyDescent="0.25">
      <c r="A102" s="8">
        <v>122244</v>
      </c>
      <c r="B102" s="8" t="s">
        <v>321</v>
      </c>
      <c r="C102" s="8"/>
      <c r="D102" s="8" t="s">
        <v>393</v>
      </c>
      <c r="E102" s="8" t="s">
        <v>478</v>
      </c>
      <c r="F102" s="4" t="s">
        <v>405</v>
      </c>
      <c r="G102" s="8"/>
      <c r="H102" s="8">
        <v>2</v>
      </c>
      <c r="I102" s="8" t="s">
        <v>396</v>
      </c>
      <c r="J102" s="8" t="s">
        <v>406</v>
      </c>
      <c r="K102" s="8" t="s">
        <v>415</v>
      </c>
      <c r="L102" s="8"/>
      <c r="M102" s="8"/>
      <c r="N102" s="8">
        <v>100</v>
      </c>
      <c r="O102" s="8"/>
      <c r="P102" s="63" t="s">
        <v>436</v>
      </c>
      <c r="Q102" s="14" t="s">
        <v>30</v>
      </c>
      <c r="R102" s="8"/>
      <c r="S102" s="8"/>
      <c r="T102" s="8"/>
      <c r="U102" s="8"/>
      <c r="V102" s="8"/>
      <c r="W102" s="8" t="s">
        <v>281</v>
      </c>
      <c r="X102" s="8"/>
      <c r="AD102" s="34">
        <f t="shared" si="2"/>
        <v>122244</v>
      </c>
      <c r="AE102">
        <f t="shared" si="3"/>
        <v>0</v>
      </c>
    </row>
    <row r="103" spans="1:31" x14ac:dyDescent="0.25">
      <c r="A103" s="8">
        <v>122245</v>
      </c>
      <c r="B103" s="8" t="s">
        <v>324</v>
      </c>
      <c r="C103" s="8"/>
      <c r="D103" s="8" t="s">
        <v>393</v>
      </c>
      <c r="E103" s="8" t="s">
        <v>478</v>
      </c>
      <c r="F103" s="4" t="s">
        <v>405</v>
      </c>
      <c r="G103" s="8"/>
      <c r="H103" s="8">
        <v>2</v>
      </c>
      <c r="I103" s="8" t="s">
        <v>396</v>
      </c>
      <c r="J103" s="8" t="s">
        <v>406</v>
      </c>
      <c r="K103" s="8" t="s">
        <v>415</v>
      </c>
      <c r="L103" s="8"/>
      <c r="M103" s="8"/>
      <c r="N103" s="8">
        <v>100</v>
      </c>
      <c r="O103" s="8"/>
      <c r="P103" s="63" t="s">
        <v>436</v>
      </c>
      <c r="Q103" s="14" t="s">
        <v>30</v>
      </c>
      <c r="R103" s="8"/>
      <c r="S103" s="8"/>
      <c r="T103" s="8"/>
      <c r="U103" s="8"/>
      <c r="V103" s="8"/>
      <c r="W103" s="8" t="s">
        <v>281</v>
      </c>
      <c r="X103" s="8"/>
      <c r="AD103" s="34">
        <f t="shared" si="2"/>
        <v>122245</v>
      </c>
      <c r="AE103">
        <f t="shared" si="3"/>
        <v>0</v>
      </c>
    </row>
    <row r="104" spans="1:31" ht="45" x14ac:dyDescent="0.25">
      <c r="A104" s="8">
        <v>122246</v>
      </c>
      <c r="B104" s="8" t="s">
        <v>327</v>
      </c>
      <c r="C104" s="8"/>
      <c r="D104" s="8" t="s">
        <v>393</v>
      </c>
      <c r="E104" s="8" t="s">
        <v>478</v>
      </c>
      <c r="F104" s="4" t="s">
        <v>414</v>
      </c>
      <c r="G104" s="8"/>
      <c r="H104" s="8">
        <v>2</v>
      </c>
      <c r="I104" s="8" t="s">
        <v>396</v>
      </c>
      <c r="J104" s="8" t="s">
        <v>406</v>
      </c>
      <c r="K104" s="8" t="s">
        <v>407</v>
      </c>
      <c r="L104" s="8"/>
      <c r="M104" s="8"/>
      <c r="N104" s="8">
        <v>100</v>
      </c>
      <c r="O104" s="8"/>
      <c r="P104" s="63" t="s">
        <v>436</v>
      </c>
      <c r="Q104" s="14" t="s">
        <v>30</v>
      </c>
      <c r="R104" s="8"/>
      <c r="S104" s="8"/>
      <c r="T104" s="8"/>
      <c r="U104" s="8"/>
      <c r="V104" s="8"/>
      <c r="W104" s="8" t="s">
        <v>281</v>
      </c>
      <c r="X104" s="8"/>
      <c r="AD104" s="34">
        <f t="shared" si="2"/>
        <v>122246</v>
      </c>
      <c r="AE104">
        <f t="shared" si="3"/>
        <v>0</v>
      </c>
    </row>
    <row r="105" spans="1:31" x14ac:dyDescent="0.25">
      <c r="A105" s="63" t="s">
        <v>348</v>
      </c>
      <c r="B105" s="8" t="s">
        <v>350</v>
      </c>
      <c r="C105" s="8"/>
      <c r="D105" s="8" t="s">
        <v>393</v>
      </c>
      <c r="E105" s="8" t="s">
        <v>536</v>
      </c>
      <c r="F105" s="8" t="s">
        <v>462</v>
      </c>
      <c r="G105" s="8" t="s">
        <v>537</v>
      </c>
      <c r="H105" s="8">
        <v>1</v>
      </c>
      <c r="I105" s="8" t="s">
        <v>396</v>
      </c>
      <c r="J105" s="8" t="s">
        <v>397</v>
      </c>
      <c r="K105" s="8" t="s">
        <v>407</v>
      </c>
      <c r="L105" s="8"/>
      <c r="M105" s="8"/>
      <c r="N105" s="8">
        <v>100</v>
      </c>
      <c r="O105" s="8"/>
      <c r="P105" s="63" t="s">
        <v>436</v>
      </c>
      <c r="Q105" s="8" t="s">
        <v>77</v>
      </c>
      <c r="R105" s="8"/>
      <c r="S105" s="8"/>
      <c r="T105" s="8"/>
      <c r="U105" s="8"/>
      <c r="V105" s="8"/>
      <c r="W105" s="8" t="s">
        <v>347</v>
      </c>
      <c r="X105" s="8"/>
      <c r="AD105" s="34" t="str">
        <f t="shared" si="2"/>
        <v>020183</v>
      </c>
      <c r="AE105">
        <f t="shared" si="3"/>
        <v>0</v>
      </c>
    </row>
    <row r="106" spans="1:31" x14ac:dyDescent="0.25">
      <c r="A106" s="63" t="s">
        <v>538</v>
      </c>
      <c r="B106" s="8" t="s">
        <v>539</v>
      </c>
      <c r="C106" s="8"/>
      <c r="D106" s="8" t="s">
        <v>393</v>
      </c>
      <c r="E106" s="8" t="s">
        <v>494</v>
      </c>
      <c r="F106" s="8" t="s">
        <v>449</v>
      </c>
      <c r="G106" s="8" t="s">
        <v>540</v>
      </c>
      <c r="H106" s="8">
        <v>1</v>
      </c>
      <c r="I106" s="8" t="s">
        <v>396</v>
      </c>
      <c r="J106" s="8" t="s">
        <v>397</v>
      </c>
      <c r="K106" s="8" t="s">
        <v>407</v>
      </c>
      <c r="L106" s="8"/>
      <c r="M106" s="8"/>
      <c r="N106" s="8">
        <v>100</v>
      </c>
      <c r="O106" s="8"/>
      <c r="P106" s="63" t="s">
        <v>436</v>
      </c>
      <c r="Q106" s="8" t="s">
        <v>541</v>
      </c>
      <c r="R106" s="8"/>
      <c r="S106" s="8"/>
      <c r="T106" s="8"/>
      <c r="U106" s="8"/>
      <c r="V106" s="8"/>
      <c r="W106" s="8" t="s">
        <v>542</v>
      </c>
      <c r="X106" s="8"/>
      <c r="AD106" s="34" t="str">
        <f t="shared" si="2"/>
        <v>090368</v>
      </c>
      <c r="AE106">
        <f t="shared" si="3"/>
        <v>0</v>
      </c>
    </row>
    <row r="107" spans="1:31" x14ac:dyDescent="0.25">
      <c r="A107" s="8">
        <v>111489</v>
      </c>
      <c r="B107" s="63" t="s">
        <v>234</v>
      </c>
      <c r="C107" s="8"/>
      <c r="D107" s="8" t="s">
        <v>543</v>
      </c>
      <c r="E107" s="8" t="s">
        <v>469</v>
      </c>
      <c r="F107" s="8" t="s">
        <v>449</v>
      </c>
      <c r="G107" s="8"/>
      <c r="H107" s="8">
        <v>2</v>
      </c>
      <c r="I107" s="8" t="s">
        <v>396</v>
      </c>
      <c r="J107" s="8" t="s">
        <v>397</v>
      </c>
      <c r="K107" s="8" t="s">
        <v>466</v>
      </c>
      <c r="L107" s="8"/>
      <c r="M107" s="8"/>
      <c r="N107" s="8">
        <v>200</v>
      </c>
      <c r="O107" s="8"/>
      <c r="P107" s="63" t="s">
        <v>436</v>
      </c>
      <c r="Q107" s="8" t="s">
        <v>77</v>
      </c>
      <c r="R107" s="8"/>
      <c r="S107" s="8"/>
      <c r="T107" s="8"/>
      <c r="U107" s="8"/>
      <c r="V107" s="8"/>
      <c r="W107" s="8" t="s">
        <v>218</v>
      </c>
      <c r="X107" s="8"/>
      <c r="AD107" s="34">
        <f t="shared" si="2"/>
        <v>111489</v>
      </c>
      <c r="AE107">
        <f t="shared" si="3"/>
        <v>0</v>
      </c>
    </row>
    <row r="108" spans="1:31" x14ac:dyDescent="0.25">
      <c r="A108" s="8">
        <v>320048</v>
      </c>
      <c r="B108" s="63" t="s">
        <v>544</v>
      </c>
      <c r="C108" s="8"/>
      <c r="D108" s="8">
        <v>272343</v>
      </c>
      <c r="E108" s="8" t="s">
        <v>470</v>
      </c>
      <c r="F108" s="8" t="s">
        <v>492</v>
      </c>
      <c r="G108" s="8"/>
      <c r="H108" s="8">
        <v>4</v>
      </c>
      <c r="I108" s="8" t="s">
        <v>396</v>
      </c>
      <c r="J108" s="8" t="s">
        <v>397</v>
      </c>
      <c r="K108" s="8" t="s">
        <v>466</v>
      </c>
      <c r="L108" s="8"/>
      <c r="M108" s="8"/>
      <c r="N108" s="8">
        <v>200</v>
      </c>
      <c r="O108" s="8"/>
      <c r="P108" s="63" t="s">
        <v>436</v>
      </c>
      <c r="Q108" s="52"/>
      <c r="R108" s="8"/>
      <c r="S108" s="8"/>
      <c r="T108" s="8"/>
      <c r="U108" s="8"/>
      <c r="V108" s="8"/>
      <c r="W108" s="52"/>
      <c r="X108" s="8"/>
      <c r="AD108" s="34">
        <f t="shared" si="2"/>
        <v>320048</v>
      </c>
      <c r="AE108">
        <f t="shared" si="3"/>
        <v>0</v>
      </c>
    </row>
    <row r="109" spans="1:31" x14ac:dyDescent="0.25">
      <c r="A109" s="8">
        <v>131399</v>
      </c>
      <c r="B109" s="63" t="s">
        <v>212</v>
      </c>
      <c r="C109" s="8"/>
      <c r="D109" s="8">
        <v>272344</v>
      </c>
      <c r="E109" s="8" t="s">
        <v>479</v>
      </c>
      <c r="F109" s="8" t="s">
        <v>492</v>
      </c>
      <c r="G109" s="8"/>
      <c r="H109" s="8">
        <v>2</v>
      </c>
      <c r="I109" s="8" t="s">
        <v>396</v>
      </c>
      <c r="J109" s="8" t="s">
        <v>397</v>
      </c>
      <c r="K109" s="8" t="s">
        <v>466</v>
      </c>
      <c r="L109" s="8"/>
      <c r="M109" s="8"/>
      <c r="N109" s="8">
        <v>200</v>
      </c>
      <c r="O109" s="8"/>
      <c r="P109" s="63" t="s">
        <v>436</v>
      </c>
      <c r="Q109" s="8" t="s">
        <v>77</v>
      </c>
      <c r="R109" s="8"/>
      <c r="S109" s="8"/>
      <c r="T109" s="8"/>
      <c r="U109" s="8"/>
      <c r="V109" s="8"/>
      <c r="W109" s="8" t="s">
        <v>545</v>
      </c>
      <c r="X109" s="8"/>
      <c r="AD109" s="34">
        <f t="shared" si="2"/>
        <v>131399</v>
      </c>
      <c r="AE109">
        <f t="shared" si="3"/>
        <v>0</v>
      </c>
    </row>
    <row r="110" spans="1:31" x14ac:dyDescent="0.25">
      <c r="A110" s="8">
        <v>140600</v>
      </c>
      <c r="B110" s="63" t="s">
        <v>546</v>
      </c>
      <c r="C110" s="8"/>
      <c r="D110" s="8">
        <v>272344</v>
      </c>
      <c r="E110" s="8" t="s">
        <v>464</v>
      </c>
      <c r="F110" s="8" t="s">
        <v>449</v>
      </c>
      <c r="G110" s="8"/>
      <c r="H110" s="8">
        <v>4</v>
      </c>
      <c r="I110" s="8" t="s">
        <v>547</v>
      </c>
      <c r="J110" s="8" t="s">
        <v>465</v>
      </c>
      <c r="K110" s="8" t="s">
        <v>466</v>
      </c>
      <c r="L110" s="8"/>
      <c r="M110" s="8"/>
      <c r="N110" s="8">
        <v>200</v>
      </c>
      <c r="O110" s="8"/>
      <c r="P110" s="63" t="s">
        <v>436</v>
      </c>
      <c r="Q110" s="8"/>
      <c r="R110" s="8"/>
      <c r="S110" s="8"/>
      <c r="T110" s="8"/>
      <c r="U110" s="8"/>
      <c r="V110" s="8"/>
      <c r="W110" s="8" t="s">
        <v>148</v>
      </c>
      <c r="X110" s="8"/>
      <c r="AD110" s="34">
        <f t="shared" si="2"/>
        <v>140600</v>
      </c>
      <c r="AE110">
        <f t="shared" si="3"/>
        <v>0</v>
      </c>
    </row>
    <row r="111" spans="1:31" x14ac:dyDescent="0.25">
      <c r="A111" s="8">
        <v>122255</v>
      </c>
      <c r="B111" s="63" t="s">
        <v>330</v>
      </c>
      <c r="C111" s="8"/>
      <c r="D111" s="8">
        <v>272350</v>
      </c>
      <c r="E111" s="8" t="s">
        <v>478</v>
      </c>
      <c r="F111" s="4" t="s">
        <v>405</v>
      </c>
      <c r="G111" s="8"/>
      <c r="H111" s="8">
        <v>14</v>
      </c>
      <c r="I111" s="8" t="s">
        <v>396</v>
      </c>
      <c r="J111" s="8" t="s">
        <v>406</v>
      </c>
      <c r="K111" s="8" t="s">
        <v>466</v>
      </c>
      <c r="L111" s="8"/>
      <c r="M111" s="8"/>
      <c r="N111" s="8">
        <v>200</v>
      </c>
      <c r="O111" s="8"/>
      <c r="P111" s="63" t="s">
        <v>436</v>
      </c>
      <c r="Q111" s="14" t="s">
        <v>30</v>
      </c>
      <c r="R111" s="8"/>
      <c r="S111" s="8"/>
      <c r="T111" s="8"/>
      <c r="U111" s="8"/>
      <c r="V111" s="8"/>
      <c r="W111" s="8" t="s">
        <v>281</v>
      </c>
      <c r="X111" s="8"/>
      <c r="AD111" s="34">
        <f t="shared" si="2"/>
        <v>122255</v>
      </c>
      <c r="AE111">
        <f t="shared" si="3"/>
        <v>0</v>
      </c>
    </row>
    <row r="112" spans="1:31" x14ac:dyDescent="0.25">
      <c r="A112" s="63" t="s">
        <v>199</v>
      </c>
      <c r="B112" s="8" t="s">
        <v>200</v>
      </c>
      <c r="C112" s="8"/>
      <c r="D112" s="8">
        <v>272358</v>
      </c>
      <c r="E112" s="8" t="s">
        <v>467</v>
      </c>
      <c r="F112" s="8" t="s">
        <v>449</v>
      </c>
      <c r="G112" s="8"/>
      <c r="H112" s="8">
        <v>1</v>
      </c>
      <c r="I112" s="8" t="s">
        <v>396</v>
      </c>
      <c r="J112" s="8" t="s">
        <v>465</v>
      </c>
      <c r="K112" s="8" t="s">
        <v>466</v>
      </c>
      <c r="L112" s="8"/>
      <c r="M112" s="8"/>
      <c r="N112" s="8">
        <v>200</v>
      </c>
      <c r="O112" s="8"/>
      <c r="P112" s="63" t="s">
        <v>436</v>
      </c>
      <c r="Q112" s="8"/>
      <c r="R112" s="8"/>
      <c r="S112" s="8"/>
      <c r="T112" s="8"/>
      <c r="U112" s="8"/>
      <c r="V112" s="8"/>
      <c r="W112" s="8" t="s">
        <v>198</v>
      </c>
      <c r="X112" s="8"/>
      <c r="AD112" s="34" t="str">
        <f t="shared" si="2"/>
        <v>260055</v>
      </c>
      <c r="AE112">
        <f t="shared" si="3"/>
        <v>0</v>
      </c>
    </row>
    <row r="113" spans="1:31" x14ac:dyDescent="0.25">
      <c r="A113" s="8">
        <v>140749</v>
      </c>
      <c r="B113" s="63" t="s">
        <v>548</v>
      </c>
      <c r="C113" s="8"/>
      <c r="D113" s="8">
        <v>272358</v>
      </c>
      <c r="E113" s="8" t="s">
        <v>464</v>
      </c>
      <c r="F113" s="8" t="s">
        <v>449</v>
      </c>
      <c r="G113" s="8"/>
      <c r="H113" s="8">
        <v>4</v>
      </c>
      <c r="I113" s="8" t="s">
        <v>547</v>
      </c>
      <c r="J113" s="8" t="s">
        <v>465</v>
      </c>
      <c r="K113" s="8" t="s">
        <v>466</v>
      </c>
      <c r="L113" s="8"/>
      <c r="M113" s="8"/>
      <c r="N113" s="8">
        <v>200</v>
      </c>
      <c r="O113" s="8"/>
      <c r="P113" s="63" t="s">
        <v>436</v>
      </c>
      <c r="Q113" s="8"/>
      <c r="R113" s="8"/>
      <c r="S113" s="8"/>
      <c r="T113" s="8"/>
      <c r="U113" s="8"/>
      <c r="V113" s="8"/>
      <c r="W113" s="8" t="s">
        <v>148</v>
      </c>
      <c r="X113" s="8"/>
      <c r="AD113" s="34">
        <f t="shared" si="2"/>
        <v>140749</v>
      </c>
      <c r="AE113">
        <f t="shared" si="3"/>
        <v>0</v>
      </c>
    </row>
    <row r="114" spans="1:31" x14ac:dyDescent="0.25">
      <c r="A114" s="63" t="s">
        <v>24</v>
      </c>
      <c r="B114" s="8" t="s">
        <v>549</v>
      </c>
      <c r="C114" s="8"/>
      <c r="D114" s="8" t="s">
        <v>393</v>
      </c>
      <c r="E114" s="8" t="s">
        <v>479</v>
      </c>
      <c r="F114" s="8" t="s">
        <v>449</v>
      </c>
      <c r="G114" s="8"/>
      <c r="H114" s="8">
        <v>2</v>
      </c>
      <c r="I114" s="8" t="s">
        <v>396</v>
      </c>
      <c r="J114" s="8" t="s">
        <v>397</v>
      </c>
      <c r="K114" s="8" t="s">
        <v>407</v>
      </c>
      <c r="L114" s="8"/>
      <c r="M114" s="8"/>
      <c r="N114" s="8">
        <v>100</v>
      </c>
      <c r="O114" s="8"/>
      <c r="P114" s="63" t="s">
        <v>436</v>
      </c>
      <c r="Q114" s="63" t="s">
        <v>483</v>
      </c>
      <c r="R114" s="8"/>
      <c r="S114" s="8"/>
      <c r="T114" s="8"/>
      <c r="U114" s="8"/>
      <c r="V114" s="8"/>
      <c r="W114" s="8" t="s">
        <v>487</v>
      </c>
      <c r="X114" s="8"/>
      <c r="AD114" s="34" t="str">
        <f t="shared" si="2"/>
        <v>131401</v>
      </c>
      <c r="AE114">
        <f t="shared" si="3"/>
        <v>0</v>
      </c>
    </row>
    <row r="115" spans="1:31" x14ac:dyDescent="0.25">
      <c r="A115" s="63" t="s">
        <v>331</v>
      </c>
      <c r="B115" s="63" t="s">
        <v>333</v>
      </c>
      <c r="C115" s="8"/>
      <c r="D115" s="8">
        <v>272346</v>
      </c>
      <c r="E115" s="8" t="s">
        <v>478</v>
      </c>
      <c r="F115" s="8" t="s">
        <v>405</v>
      </c>
      <c r="G115" s="8"/>
      <c r="H115" s="8">
        <v>2</v>
      </c>
      <c r="I115" s="8" t="s">
        <v>396</v>
      </c>
      <c r="J115" s="8" t="s">
        <v>406</v>
      </c>
      <c r="K115" s="8" t="s">
        <v>466</v>
      </c>
      <c r="L115" s="8"/>
      <c r="M115" s="8"/>
      <c r="N115" s="8">
        <v>200</v>
      </c>
      <c r="O115" s="8"/>
      <c r="P115" s="63" t="s">
        <v>436</v>
      </c>
      <c r="Q115" s="14" t="s">
        <v>30</v>
      </c>
      <c r="R115" s="8"/>
      <c r="S115" s="8"/>
      <c r="T115" s="8"/>
      <c r="U115" s="8"/>
      <c r="V115" s="8"/>
      <c r="W115" s="8" t="s">
        <v>281</v>
      </c>
      <c r="X115" s="8"/>
      <c r="AD115" s="34" t="str">
        <f t="shared" si="2"/>
        <v>122266</v>
      </c>
      <c r="AE115">
        <f t="shared" si="3"/>
        <v>0</v>
      </c>
    </row>
    <row r="116" spans="1:31" x14ac:dyDescent="0.25">
      <c r="A116" s="63" t="s">
        <v>334</v>
      </c>
      <c r="B116" s="63" t="s">
        <v>336</v>
      </c>
      <c r="C116" s="8"/>
      <c r="D116" s="8" t="s">
        <v>393</v>
      </c>
      <c r="E116" s="8" t="s">
        <v>478</v>
      </c>
      <c r="F116" s="8" t="s">
        <v>405</v>
      </c>
      <c r="G116" s="8"/>
      <c r="H116" s="8">
        <v>2</v>
      </c>
      <c r="I116" s="8" t="s">
        <v>396</v>
      </c>
      <c r="J116" s="8" t="s">
        <v>406</v>
      </c>
      <c r="K116" s="8" t="s">
        <v>415</v>
      </c>
      <c r="L116" s="8"/>
      <c r="M116" s="8"/>
      <c r="N116" s="8">
        <v>100</v>
      </c>
      <c r="O116" s="8"/>
      <c r="P116" s="63" t="s">
        <v>436</v>
      </c>
      <c r="Q116" s="14" t="s">
        <v>30</v>
      </c>
      <c r="R116" s="8"/>
      <c r="S116" s="8"/>
      <c r="T116" s="8"/>
      <c r="U116" s="8"/>
      <c r="V116" s="8"/>
      <c r="W116" s="8" t="s">
        <v>281</v>
      </c>
      <c r="X116" s="8"/>
      <c r="AD116" s="34" t="str">
        <f t="shared" si="2"/>
        <v>122267</v>
      </c>
      <c r="AE116">
        <f t="shared" si="3"/>
        <v>0</v>
      </c>
    </row>
    <row r="117" spans="1:31" x14ac:dyDescent="0.25">
      <c r="A117" s="63" t="s">
        <v>337</v>
      </c>
      <c r="B117" s="8" t="s">
        <v>339</v>
      </c>
      <c r="C117" s="8"/>
      <c r="D117" s="8" t="s">
        <v>393</v>
      </c>
      <c r="E117" s="8" t="s">
        <v>478</v>
      </c>
      <c r="F117" s="8" t="s">
        <v>405</v>
      </c>
      <c r="G117" s="8"/>
      <c r="H117" s="8">
        <v>2</v>
      </c>
      <c r="I117" s="8" t="s">
        <v>396</v>
      </c>
      <c r="J117" s="8" t="s">
        <v>406</v>
      </c>
      <c r="K117" s="8" t="s">
        <v>415</v>
      </c>
      <c r="L117" s="8"/>
      <c r="M117" s="8"/>
      <c r="N117" s="8">
        <v>100</v>
      </c>
      <c r="O117" s="8"/>
      <c r="P117" s="63" t="s">
        <v>436</v>
      </c>
      <c r="Q117" s="14" t="s">
        <v>30</v>
      </c>
      <c r="R117" s="8"/>
      <c r="S117" s="8"/>
      <c r="T117" s="8"/>
      <c r="U117" s="8"/>
      <c r="V117" s="8"/>
      <c r="W117" s="8" t="s">
        <v>281</v>
      </c>
      <c r="X117" s="8"/>
      <c r="AD117" s="34" t="str">
        <f t="shared" si="2"/>
        <v>122268</v>
      </c>
      <c r="AE117">
        <f t="shared" si="3"/>
        <v>0</v>
      </c>
    </row>
    <row r="118" spans="1:31" x14ac:dyDescent="0.25">
      <c r="A118" s="63" t="s">
        <v>340</v>
      </c>
      <c r="B118" s="8" t="s">
        <v>342</v>
      </c>
      <c r="C118" s="8"/>
      <c r="D118" s="8" t="s">
        <v>393</v>
      </c>
      <c r="E118" s="8" t="s">
        <v>478</v>
      </c>
      <c r="F118" s="8" t="s">
        <v>449</v>
      </c>
      <c r="G118" s="8"/>
      <c r="H118" s="8">
        <v>1</v>
      </c>
      <c r="I118" s="8" t="s">
        <v>396</v>
      </c>
      <c r="J118" s="8" t="s">
        <v>397</v>
      </c>
      <c r="K118" s="8" t="s">
        <v>415</v>
      </c>
      <c r="L118" s="8"/>
      <c r="M118" s="8"/>
      <c r="N118" s="8">
        <v>100</v>
      </c>
      <c r="O118" s="8"/>
      <c r="P118" s="63" t="s">
        <v>436</v>
      </c>
      <c r="Q118" s="14" t="s">
        <v>53</v>
      </c>
      <c r="R118" s="8"/>
      <c r="S118" s="8"/>
      <c r="T118" s="8"/>
      <c r="U118" s="8"/>
      <c r="V118" s="8"/>
      <c r="W118" s="8" t="s">
        <v>281</v>
      </c>
      <c r="X118" s="8"/>
      <c r="AD118" s="34" t="str">
        <f t="shared" si="2"/>
        <v>131402</v>
      </c>
      <c r="AE118">
        <f t="shared" si="3"/>
        <v>0</v>
      </c>
    </row>
    <row r="119" spans="1:31" x14ac:dyDescent="0.25">
      <c r="A119" s="63" t="s">
        <v>58</v>
      </c>
      <c r="B119" s="8" t="s">
        <v>550</v>
      </c>
      <c r="C119" s="8"/>
      <c r="D119" s="8">
        <v>272400</v>
      </c>
      <c r="E119" s="8" t="s">
        <v>479</v>
      </c>
      <c r="F119" s="8" t="s">
        <v>405</v>
      </c>
      <c r="G119" s="8"/>
      <c r="H119" s="8">
        <v>1</v>
      </c>
      <c r="I119" s="8" t="s">
        <v>396</v>
      </c>
      <c r="J119" s="8" t="s">
        <v>406</v>
      </c>
      <c r="K119" s="8" t="s">
        <v>466</v>
      </c>
      <c r="L119" s="8"/>
      <c r="M119" s="8"/>
      <c r="N119" s="8">
        <v>200</v>
      </c>
      <c r="O119" s="8" t="s">
        <v>551</v>
      </c>
      <c r="P119" s="63" t="s">
        <v>436</v>
      </c>
      <c r="Q119" s="14" t="s">
        <v>30</v>
      </c>
      <c r="R119" s="8"/>
      <c r="S119" s="8"/>
      <c r="T119" s="8"/>
      <c r="U119" s="8"/>
      <c r="V119" s="8"/>
      <c r="W119" s="8" t="s">
        <v>487</v>
      </c>
      <c r="X119" s="8"/>
      <c r="AD119" s="34" t="str">
        <f t="shared" si="2"/>
        <v>131403</v>
      </c>
      <c r="AE119">
        <f t="shared" si="3"/>
        <v>0</v>
      </c>
    </row>
    <row r="120" spans="1:31" x14ac:dyDescent="0.25">
      <c r="A120" s="63" t="s">
        <v>60</v>
      </c>
      <c r="B120" s="8" t="s">
        <v>552</v>
      </c>
      <c r="C120" s="8"/>
      <c r="D120" s="8">
        <v>272400</v>
      </c>
      <c r="E120" s="8" t="s">
        <v>479</v>
      </c>
      <c r="F120" s="8" t="s">
        <v>405</v>
      </c>
      <c r="G120" s="8"/>
      <c r="H120" s="8">
        <v>1</v>
      </c>
      <c r="I120" s="8" t="s">
        <v>396</v>
      </c>
      <c r="J120" s="8" t="s">
        <v>406</v>
      </c>
      <c r="K120" s="8" t="s">
        <v>466</v>
      </c>
      <c r="L120" s="8"/>
      <c r="M120" s="8"/>
      <c r="N120" s="8">
        <v>200</v>
      </c>
      <c r="O120" s="8" t="s">
        <v>551</v>
      </c>
      <c r="P120" s="63" t="s">
        <v>436</v>
      </c>
      <c r="Q120" s="14" t="s">
        <v>30</v>
      </c>
      <c r="R120" s="8"/>
      <c r="S120" s="8"/>
      <c r="T120" s="8"/>
      <c r="U120" s="8"/>
      <c r="V120" s="8"/>
      <c r="W120" s="8" t="s">
        <v>487</v>
      </c>
      <c r="X120" s="8"/>
    </row>
    <row r="121" spans="1:31" x14ac:dyDescent="0.25">
      <c r="A121" s="63" t="s">
        <v>62</v>
      </c>
      <c r="B121" s="8" t="s">
        <v>553</v>
      </c>
      <c r="C121" s="8"/>
      <c r="D121" s="8">
        <v>272400</v>
      </c>
      <c r="E121" s="8" t="s">
        <v>479</v>
      </c>
      <c r="F121" s="8" t="s">
        <v>449</v>
      </c>
      <c r="G121" s="8"/>
      <c r="H121" s="8">
        <v>1</v>
      </c>
      <c r="I121" s="8" t="s">
        <v>396</v>
      </c>
      <c r="J121" s="8" t="s">
        <v>397</v>
      </c>
      <c r="K121" s="8" t="s">
        <v>466</v>
      </c>
      <c r="L121" s="8"/>
      <c r="M121" s="8"/>
      <c r="N121" s="8">
        <v>200</v>
      </c>
      <c r="O121" s="8" t="s">
        <v>551</v>
      </c>
      <c r="P121" s="63" t="s">
        <v>436</v>
      </c>
      <c r="Q121" s="8" t="s">
        <v>483</v>
      </c>
      <c r="R121" s="8"/>
      <c r="S121" s="8"/>
      <c r="T121" s="8"/>
      <c r="U121" s="8"/>
      <c r="V121" s="8"/>
      <c r="W121" s="8" t="s">
        <v>487</v>
      </c>
      <c r="X121" s="8"/>
    </row>
    <row r="122" spans="1:31" x14ac:dyDescent="0.25">
      <c r="A122" s="63" t="s">
        <v>64</v>
      </c>
      <c r="B122" s="8" t="s">
        <v>554</v>
      </c>
      <c r="C122" s="8"/>
      <c r="D122" s="8">
        <v>272359</v>
      </c>
      <c r="E122" s="8" t="s">
        <v>479</v>
      </c>
      <c r="F122" s="8" t="s">
        <v>492</v>
      </c>
      <c r="G122" s="8"/>
      <c r="H122" s="8">
        <v>1</v>
      </c>
      <c r="I122" s="8" t="s">
        <v>396</v>
      </c>
      <c r="J122" s="8" t="s">
        <v>397</v>
      </c>
      <c r="K122" s="8" t="s">
        <v>466</v>
      </c>
      <c r="L122" s="8"/>
      <c r="M122" s="8"/>
      <c r="N122" s="8">
        <v>200</v>
      </c>
      <c r="O122" s="8" t="s">
        <v>551</v>
      </c>
      <c r="P122" s="63" t="s">
        <v>436</v>
      </c>
      <c r="Q122" s="8" t="s">
        <v>483</v>
      </c>
      <c r="R122" s="8"/>
      <c r="S122" s="8"/>
      <c r="T122" s="8"/>
      <c r="U122" s="8"/>
      <c r="V122" s="8"/>
      <c r="W122" s="8" t="s">
        <v>487</v>
      </c>
      <c r="X122" s="8"/>
    </row>
    <row r="123" spans="1:31" x14ac:dyDescent="0.25">
      <c r="A123" s="63" t="s">
        <v>343</v>
      </c>
      <c r="B123" s="8" t="s">
        <v>345</v>
      </c>
      <c r="C123" s="8"/>
      <c r="D123" s="8">
        <v>272400</v>
      </c>
      <c r="E123" s="8" t="s">
        <v>478</v>
      </c>
      <c r="F123" s="8" t="s">
        <v>449</v>
      </c>
      <c r="G123" s="8"/>
      <c r="H123" s="8">
        <v>1</v>
      </c>
      <c r="I123" s="8" t="s">
        <v>396</v>
      </c>
      <c r="J123" s="8" t="s">
        <v>397</v>
      </c>
      <c r="K123" s="8" t="s">
        <v>466</v>
      </c>
      <c r="L123" s="8"/>
      <c r="M123" s="8"/>
      <c r="N123" s="8">
        <v>200</v>
      </c>
      <c r="O123" s="8" t="s">
        <v>551</v>
      </c>
      <c r="P123" s="63" t="s">
        <v>436</v>
      </c>
      <c r="Q123" s="14" t="s">
        <v>285</v>
      </c>
      <c r="R123" s="8"/>
      <c r="S123" s="14" t="s">
        <v>53</v>
      </c>
      <c r="T123" s="8"/>
      <c r="U123" s="8"/>
      <c r="V123" s="8"/>
      <c r="W123" s="8" t="s">
        <v>281</v>
      </c>
      <c r="X123" s="8"/>
    </row>
    <row r="124" spans="1:31" x14ac:dyDescent="0.25">
      <c r="A124" s="63"/>
      <c r="B124" s="6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63"/>
      <c r="Q124" s="14"/>
      <c r="R124" s="8"/>
      <c r="S124" s="14"/>
      <c r="T124" s="8"/>
      <c r="U124" s="8"/>
      <c r="V124" s="8"/>
      <c r="W124" s="8"/>
      <c r="X124" s="8"/>
    </row>
    <row r="125" spans="1:31" x14ac:dyDescent="0.25">
      <c r="A125" s="63"/>
      <c r="B125" s="6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63"/>
      <c r="Q125" s="14"/>
      <c r="R125" s="8"/>
      <c r="S125" s="14"/>
      <c r="T125" s="8"/>
      <c r="U125" s="8"/>
      <c r="V125" s="8"/>
      <c r="W125" s="8"/>
      <c r="X125" s="8"/>
    </row>
  </sheetData>
  <conditionalFormatting sqref="A1:A106 A112 A114:A118">
    <cfRule type="duplicateValues" dxfId="2" priority="2"/>
  </conditionalFormatting>
  <conditionalFormatting sqref="A119:A12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richieste offerte kit+sacc</vt:lpstr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Brunazzetto</dc:creator>
  <cp:lastModifiedBy>Paolo Brunazzetto</cp:lastModifiedBy>
  <dcterms:created xsi:type="dcterms:W3CDTF">2025-12-03T09:14:15Z</dcterms:created>
  <dcterms:modified xsi:type="dcterms:W3CDTF">2025-12-16T11:46:37Z</dcterms:modified>
</cp:coreProperties>
</file>